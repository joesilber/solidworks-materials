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5" yWindow="-90" windowWidth="23535" windowHeight="15030" tabRatio="858"/>
  </bookViews>
  <sheets>
    <sheet name="Cover Page" sheetId="4" r:id="rId1"/>
    <sheet name="Room Temperature Properties" sheetId="1" r:id="rId2"/>
    <sheet name="Room Temperature Optical" sheetId="3" r:id="rId3"/>
    <sheet name="OSR degradation" sheetId="5" r:id="rId4"/>
    <sheet name="Emittance" sheetId="6" r:id="rId5"/>
    <sheet name="Conductance" sheetId="7" r:id="rId6"/>
    <sheet name="CTE" sheetId="8" r:id="rId7"/>
    <sheet name="Integrated Expansion" sheetId="9" r:id="rId8"/>
    <sheet name="Specific Heat" sheetId="11" r:id="rId9"/>
    <sheet name="Young's Modulus" sheetId="12" r:id="rId10"/>
    <sheet name="Tensil Strength" sheetId="13" r:id="rId11"/>
    <sheet name="Poisson's Ratio" sheetId="14" r:id="rId12"/>
    <sheet name="References" sheetId="2" r:id="rId13"/>
  </sheets>
  <definedNames>
    <definedName name="_xlnm.Print_Area" localSheetId="12">References!$B$2:$C$80</definedName>
  </definedNames>
  <calcPr calcId="125725"/>
</workbook>
</file>

<file path=xl/calcChain.xml><?xml version="1.0" encoding="utf-8"?>
<calcChain xmlns="http://schemas.openxmlformats.org/spreadsheetml/2006/main">
  <c r="F120" i="9"/>
  <c r="F119"/>
  <c r="F118"/>
  <c r="F117"/>
  <c r="F116"/>
  <c r="F115"/>
  <c r="F114"/>
  <c r="F113"/>
  <c r="F112"/>
  <c r="F111"/>
  <c r="F110"/>
  <c r="O24"/>
  <c r="O23"/>
  <c r="O22"/>
  <c r="O21"/>
  <c r="O20"/>
  <c r="O19"/>
  <c r="O18"/>
  <c r="O17"/>
  <c r="O16"/>
  <c r="O15"/>
  <c r="O14"/>
  <c r="O13"/>
  <c r="C81" i="7"/>
  <c r="AB82"/>
  <c r="AB83"/>
  <c r="C190" i="8"/>
  <c r="K59" i="1"/>
  <c r="C46" i="11"/>
  <c r="V47"/>
  <c r="C102" i="7"/>
  <c r="C103"/>
  <c r="D129"/>
  <c r="D130"/>
  <c r="C129"/>
  <c r="C130"/>
  <c r="AA82"/>
  <c r="AA83"/>
  <c r="Z82"/>
  <c r="Z83"/>
  <c r="Y82"/>
  <c r="Y83"/>
  <c r="X82"/>
  <c r="X83"/>
  <c r="W82"/>
  <c r="W83"/>
  <c r="V82"/>
  <c r="V83"/>
  <c r="U82"/>
  <c r="U83"/>
  <c r="T82"/>
  <c r="T83"/>
  <c r="S82"/>
  <c r="S83"/>
  <c r="R82"/>
  <c r="R83"/>
  <c r="Q82"/>
  <c r="Q83"/>
  <c r="P82"/>
  <c r="P83"/>
  <c r="O82"/>
  <c r="O83"/>
  <c r="N82"/>
  <c r="N83"/>
  <c r="M82"/>
  <c r="M83"/>
  <c r="L82"/>
  <c r="L83"/>
  <c r="K82"/>
  <c r="K83"/>
  <c r="J82"/>
  <c r="J83"/>
  <c r="I82"/>
  <c r="I83"/>
  <c r="H82"/>
  <c r="H83"/>
  <c r="G82"/>
  <c r="G83"/>
  <c r="F82"/>
  <c r="F83"/>
  <c r="E82"/>
  <c r="E83"/>
  <c r="D82"/>
  <c r="D83"/>
  <c r="C82"/>
  <c r="C83"/>
  <c r="Q33"/>
  <c r="Q32"/>
  <c r="Q31"/>
  <c r="Q30"/>
  <c r="Q29"/>
  <c r="Q28"/>
  <c r="Q27"/>
  <c r="Q26"/>
  <c r="Q25"/>
  <c r="Q24"/>
  <c r="Q23"/>
  <c r="P33"/>
  <c r="O33"/>
  <c r="N33"/>
  <c r="M33"/>
  <c r="L33"/>
  <c r="P32"/>
  <c r="O32"/>
  <c r="N32"/>
  <c r="M32"/>
  <c r="L32"/>
  <c r="P31"/>
  <c r="O31"/>
  <c r="N31"/>
  <c r="M31"/>
  <c r="L31"/>
  <c r="P30"/>
  <c r="O30"/>
  <c r="N30"/>
  <c r="M30"/>
  <c r="L30"/>
  <c r="P29"/>
  <c r="O29"/>
  <c r="N29"/>
  <c r="M29"/>
  <c r="L29"/>
  <c r="P28"/>
  <c r="O28"/>
  <c r="N28"/>
  <c r="M28"/>
  <c r="L28"/>
  <c r="P27"/>
  <c r="O27"/>
  <c r="N27"/>
  <c r="M27"/>
  <c r="L27"/>
  <c r="P26"/>
  <c r="O26"/>
  <c r="N26"/>
  <c r="M26"/>
  <c r="L26"/>
  <c r="P25"/>
  <c r="O25"/>
  <c r="M25"/>
  <c r="L25"/>
  <c r="P24"/>
  <c r="O24"/>
  <c r="M24"/>
  <c r="L24"/>
  <c r="O23"/>
  <c r="M23"/>
  <c r="L23"/>
  <c r="C115"/>
  <c r="H48"/>
  <c r="H47"/>
  <c r="H46"/>
  <c r="H45"/>
  <c r="C203" i="8"/>
  <c r="C176"/>
  <c r="D83"/>
  <c r="D92"/>
  <c r="D84"/>
  <c r="C92"/>
  <c r="C113"/>
  <c r="C114"/>
  <c r="K21"/>
  <c r="K20"/>
  <c r="K19"/>
  <c r="K18"/>
  <c r="C59" i="11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20"/>
  <c r="B19"/>
  <c r="B18"/>
  <c r="B17"/>
  <c r="N16" i="12"/>
  <c r="M16"/>
  <c r="L16"/>
  <c r="K16"/>
  <c r="J16"/>
  <c r="I16"/>
  <c r="H16"/>
  <c r="G16"/>
  <c r="F16"/>
  <c r="E16"/>
  <c r="D16"/>
  <c r="C16"/>
  <c r="C57" i="9"/>
  <c r="R43"/>
  <c r="S43"/>
  <c r="Q43"/>
  <c r="P43"/>
  <c r="O43"/>
  <c r="N43"/>
  <c r="M43"/>
  <c r="L43"/>
  <c r="K43"/>
  <c r="J43"/>
  <c r="I43"/>
  <c r="H43"/>
  <c r="G43"/>
  <c r="F43"/>
  <c r="E43"/>
  <c r="D43"/>
  <c r="C43"/>
  <c r="E84" i="3"/>
  <c r="E83"/>
  <c r="E46"/>
  <c r="E44"/>
  <c r="E85"/>
  <c r="E71"/>
  <c r="E69"/>
  <c r="E70"/>
  <c r="E68"/>
  <c r="E126"/>
  <c r="E125"/>
  <c r="E102"/>
  <c r="E132"/>
  <c r="E93"/>
  <c r="E94"/>
  <c r="E36"/>
  <c r="E34"/>
  <c r="E35"/>
  <c r="E42"/>
  <c r="E43"/>
  <c r="E91"/>
  <c r="E127"/>
  <c r="E133"/>
  <c r="E103"/>
  <c r="E86"/>
  <c r="E73"/>
  <c r="E61"/>
  <c r="E51"/>
  <c r="E47"/>
  <c r="E131"/>
  <c r="E130"/>
  <c r="E128"/>
  <c r="E129"/>
  <c r="E124"/>
  <c r="E120"/>
  <c r="E121"/>
  <c r="E119"/>
  <c r="E123"/>
  <c r="E122"/>
  <c r="E113"/>
  <c r="E114"/>
  <c r="E115"/>
  <c r="E116"/>
  <c r="E104"/>
  <c r="E101"/>
  <c r="E95"/>
  <c r="E96"/>
  <c r="E92"/>
  <c r="E88"/>
  <c r="E87"/>
  <c r="E77"/>
  <c r="E76"/>
  <c r="E75"/>
  <c r="E74"/>
  <c r="E78"/>
  <c r="E72"/>
  <c r="E65"/>
  <c r="E64"/>
  <c r="E63"/>
  <c r="E66"/>
  <c r="E62"/>
  <c r="E59"/>
  <c r="E60"/>
  <c r="E45"/>
  <c r="E41"/>
  <c r="E40"/>
  <c r="E39"/>
  <c r="E38"/>
  <c r="E37"/>
  <c r="E108"/>
  <c r="E107"/>
  <c r="E109"/>
  <c r="E105"/>
  <c r="E106"/>
  <c r="E54"/>
  <c r="E55"/>
  <c r="E56"/>
  <c r="E53"/>
  <c r="E81"/>
  <c r="E82"/>
  <c r="E80"/>
  <c r="E79"/>
  <c r="E48"/>
  <c r="E49"/>
  <c r="E50"/>
  <c r="E118"/>
  <c r="E117"/>
  <c r="E10"/>
  <c r="E11"/>
  <c r="E6"/>
  <c r="E7"/>
  <c r="E8"/>
  <c r="E9"/>
  <c r="E27"/>
  <c r="E25"/>
  <c r="E26"/>
  <c r="E24"/>
  <c r="E19"/>
  <c r="E20"/>
  <c r="E22"/>
  <c r="E21"/>
  <c r="E23"/>
  <c r="E17"/>
  <c r="E16"/>
  <c r="E18"/>
  <c r="E15"/>
  <c r="E14"/>
  <c r="E13"/>
  <c r="E12"/>
  <c r="E5"/>
  <c r="E3"/>
  <c r="E4"/>
  <c r="E100"/>
  <c r="E90"/>
  <c r="E89"/>
  <c r="E67"/>
  <c r="E58"/>
  <c r="E57"/>
  <c r="E52"/>
  <c r="E135"/>
  <c r="E134"/>
  <c r="E136"/>
  <c r="E110"/>
  <c r="E112"/>
  <c r="E111"/>
  <c r="E30"/>
  <c r="E33"/>
  <c r="E32"/>
  <c r="E31"/>
  <c r="E29"/>
  <c r="E28"/>
  <c r="E98"/>
  <c r="E97"/>
  <c r="E99"/>
  <c r="H62" i="1"/>
  <c r="H14"/>
  <c r="G14"/>
  <c r="G15"/>
</calcChain>
</file>

<file path=xl/sharedStrings.xml><?xml version="1.0" encoding="utf-8"?>
<sst xmlns="http://schemas.openxmlformats.org/spreadsheetml/2006/main" count="1305" uniqueCount="729">
  <si>
    <t>Material</t>
  </si>
  <si>
    <t>Al 1100-0</t>
  </si>
  <si>
    <t>Al 6061-T6</t>
  </si>
  <si>
    <t>Thermal 
Ref</t>
  </si>
  <si>
    <t>Beryllium</t>
  </si>
  <si>
    <t>Be-38 Al</t>
  </si>
  <si>
    <t>Be-96A</t>
  </si>
  <si>
    <t>Beryllium Oxide</t>
  </si>
  <si>
    <t>Beryllia</t>
  </si>
  <si>
    <t>Copper C10200</t>
  </si>
  <si>
    <t>Copper C26000</t>
  </si>
  <si>
    <t>Copper C31400</t>
  </si>
  <si>
    <t>Copper C48500</t>
  </si>
  <si>
    <t>Copper C50500</t>
  </si>
  <si>
    <t>Copper C82000</t>
  </si>
  <si>
    <t>Delrin</t>
  </si>
  <si>
    <t>Gallium Arsenide</t>
  </si>
  <si>
    <t>Germanium</t>
  </si>
  <si>
    <t>Fused Quartz</t>
  </si>
  <si>
    <t>Hydrazine (liquid)</t>
  </si>
  <si>
    <t>Hydrazine (solid)</t>
  </si>
  <si>
    <t>Invar</t>
  </si>
  <si>
    <t>Kapton (standard)</t>
  </si>
  <si>
    <t>Kapton (black)</t>
  </si>
  <si>
    <t>Kovar</t>
  </si>
  <si>
    <t>Magnesium AZ31B-F,A</t>
  </si>
  <si>
    <t>Molybdenum</t>
  </si>
  <si>
    <t>Molybdenum TZM</t>
  </si>
  <si>
    <t>Mycalex</t>
  </si>
  <si>
    <t>Nickel Monel 400</t>
  </si>
  <si>
    <t>Inconel 718</t>
  </si>
  <si>
    <t>RTV 511</t>
  </si>
  <si>
    <t>RTV 560,577</t>
  </si>
  <si>
    <t>RTV 615</t>
  </si>
  <si>
    <t>Silicon</t>
  </si>
  <si>
    <t>Stainless Steel 304</t>
  </si>
  <si>
    <t>Stainless Steel 440A,B,C</t>
  </si>
  <si>
    <t>Tantalum</t>
  </si>
  <si>
    <t>Teflon FEP</t>
  </si>
  <si>
    <t>Teflon TFE</t>
  </si>
  <si>
    <t>Titanium Ti-6Al-4V</t>
  </si>
  <si>
    <t>Tungsten</t>
  </si>
  <si>
    <t>Reference #</t>
  </si>
  <si>
    <t>Reference</t>
  </si>
  <si>
    <t>Spacecraft Thermal Control Handbook Volume I: Fundamental Technologies, ed. David G. Gilmore, 2nd edition, The Aerospace Press, 2002, p. 803-813</t>
  </si>
  <si>
    <t>M55J Composite</t>
  </si>
  <si>
    <t>Chris Smith, private communication (email)</t>
  </si>
  <si>
    <t>Ultem 1000 PEI (unfilled)</t>
  </si>
  <si>
    <t>Poisson's
Ratio</t>
  </si>
  <si>
    <t>Mechanical
Ref</t>
  </si>
  <si>
    <t>Dielectic
Constant</t>
  </si>
  <si>
    <t>http://www.matweb.com/search/SpecificMaterial.asp?bassnum=P1SM50</t>
  </si>
  <si>
    <t>http://www.matweb.com/search/SpecificMaterial.asp?bassnum=MTP641</t>
  </si>
  <si>
    <t>Ultem 2300 PEI (30% glass)</t>
  </si>
  <si>
    <t>CTE</t>
  </si>
  <si>
    <t>http://www.matweb.com/search/SpecificMaterial.asp?bassnum=P1SM51</t>
  </si>
  <si>
    <t>http://www.matweb.com/search/SpecificMaterial.asp?bassnum=PGLAM04</t>
  </si>
  <si>
    <t>1e13*</t>
  </si>
  <si>
    <t>Manganin</t>
  </si>
  <si>
    <t>http://www.matweb.com/search/SpecificMaterial.asp?bassnum=NCALZ21</t>
  </si>
  <si>
    <t>7,8</t>
  </si>
  <si>
    <t>http://www.goodfellow.com/csp/active/gfMaterialInfo.csp?text=*M&amp;MATID=CU06&amp;material=1</t>
  </si>
  <si>
    <t>Constantan</t>
  </si>
  <si>
    <t>9,10</t>
  </si>
  <si>
    <t>http://www.goodfellow.com/csp/active/gfMaterialInfo.csp?text=*C&amp;MATID=CU04&amp;material=1</t>
  </si>
  <si>
    <t>http://www.matweb.com/search/SpecificMaterial.asp?bassnum=MTC00</t>
  </si>
  <si>
    <t>PEEK (unreinforced)</t>
  </si>
  <si>
    <t>http://www.matweb.com/search/SpecificMaterial.asp?bassnum=O2120</t>
  </si>
  <si>
    <t>PEEK (glass Fiber filled)</t>
  </si>
  <si>
    <t>http://www.matweb.com/search/SpecificMaterial.asp?bassnum=O2130</t>
  </si>
  <si>
    <t>Elgiloy</t>
  </si>
  <si>
    <t>http://www.matweb.com/search/SpecificMaterial.asp?bassnum=NELG00</t>
  </si>
  <si>
    <t>ULE (Corning 7972)</t>
  </si>
  <si>
    <t>http://www.corning.com/semiconductoroptics/pdf/ule_2_page_spec_sheets.pdf</t>
  </si>
  <si>
    <t>AlN</t>
  </si>
  <si>
    <t>http://www.matweb.com/search/SpecificMaterial.asp?bassnum=C5MT04</t>
  </si>
  <si>
    <t>http://www.matweb.com/search/SpecificMaterial.asp?bassnum=MESi00</t>
  </si>
  <si>
    <t>http://www.matweb.com/search/SpecificMaterial.asp?bassnum=DSEM87</t>
  </si>
  <si>
    <t>http://www.matweb.com/search/SpecificMaterial.asp?bassnum=Q440CA</t>
  </si>
  <si>
    <t>http://www.matweb.com/search/SpecificMaterial.asp?bassnum=MA6061T6</t>
  </si>
  <si>
    <t>http://www.matweb.com/search/SpecificMaterial.asp?bassnum=MBEO30</t>
  </si>
  <si>
    <t>Drawn by:</t>
  </si>
  <si>
    <t>Cognizant Engineer:</t>
  </si>
  <si>
    <t>Date:</t>
  </si>
  <si>
    <t>Document Type:</t>
  </si>
  <si>
    <t>Category Code:</t>
  </si>
  <si>
    <t>Revision History:</t>
  </si>
  <si>
    <t>Rev</t>
  </si>
  <si>
    <t>Sys</t>
  </si>
  <si>
    <t xml:space="preserve">Rev </t>
  </si>
  <si>
    <t>Description</t>
  </si>
  <si>
    <t>By</t>
  </si>
  <si>
    <t>Check</t>
  </si>
  <si>
    <t>Engr</t>
  </si>
  <si>
    <t>M.A.</t>
  </si>
  <si>
    <t>C.M</t>
  </si>
  <si>
    <t>Date</t>
  </si>
  <si>
    <t>A</t>
  </si>
  <si>
    <t>http://www.matweb.com/search/SpecificMaterial.asp?bassnum=MA1100O</t>
  </si>
  <si>
    <t>http://www.matweb.com/search/SpecificMaterial.asp?bassnum=MCUABA00</t>
  </si>
  <si>
    <t>Copper C17200 (Be/Cu)</t>
  </si>
  <si>
    <t>http://www.matweb.com/search/SpecificMaterial.asp?bassnum=MCUDAL03</t>
  </si>
  <si>
    <t>http://www.matweb.com/search/SpecificMaterial.asp?bassnum=BBeOA</t>
  </si>
  <si>
    <t>http://www.matweb.com/search/SpecificMaterial.asp?bassnum=MC102B</t>
  </si>
  <si>
    <t>http://www.matweb.com/search/SpecificMaterial.asp?bassnum=MCUABP01</t>
  </si>
  <si>
    <t>http://www.matweb.com/search/SpecificMaterial.asp?bassnum=MCUABS01</t>
  </si>
  <si>
    <t>http://www.matweb.com/search/SpecificMaterial.asp?bassnum=MCUACV01</t>
  </si>
  <si>
    <t>http://www.matweb.com/search/SpecificMaterial.asp?bassnum=MCUACW01</t>
  </si>
  <si>
    <t>http://www.matweb.com/search/SpecificMaterial.asp?bassnum=P1SM03</t>
  </si>
  <si>
    <t>http://www.matweb.com/search/SpecificMaterial.asp?bassnum=MEGe00</t>
  </si>
  <si>
    <t>http://www.matweb.com/search/SpecificMaterial.asp?bassnum=BQUARTZ</t>
  </si>
  <si>
    <t>http://www.matweb.com/search/SpecificMaterial.asp?bassnum=NCAR02</t>
  </si>
  <si>
    <t>http://www.matweb.com/search/SpecificMaterial.asp?bassnum=PDUK04</t>
  </si>
  <si>
    <t>http://www.matweb.com/search/SpecificMaterial.asp?bassnum=NCAR60</t>
  </si>
  <si>
    <t>http://www.matweb.com/search/SpecificMaterial.asp?bassnum=MMAZ36</t>
  </si>
  <si>
    <t>http://www.matweb.com/search/SpecificMaterial.asp?bassnum=MEMo01</t>
  </si>
  <si>
    <t>http://www.matweb.com/search/SpecificMaterial.asp?bassnum=MRMo20</t>
  </si>
  <si>
    <t>http://www.matweb.com/search/SpecificMaterial.asp?bassnum=CMYKROY00</t>
  </si>
  <si>
    <t>http://www.matweb.com/search/SpecificMaterial.asp?bassnum=NINC10</t>
  </si>
  <si>
    <t>http://www.matweb.com/search/SpecificMaterial.asp?bassnum=NINC34</t>
  </si>
  <si>
    <t>http://www.matweb.com/search/SpecificMaterial.asp?bassnum=PGE979</t>
  </si>
  <si>
    <t>http://www.matweb.com/search/SpecificMaterial.asp?bassnum=PGE977</t>
  </si>
  <si>
    <t>http://www.matweb.com/search/SpecificMaterial.asp?bassnum=PGE982</t>
  </si>
  <si>
    <t>RTV 566</t>
  </si>
  <si>
    <t>http://www.matweb.com/search/SpecificMaterial.asp?bassnum=PGE978</t>
  </si>
  <si>
    <t>http://www.matweb.com/search/SpecificMaterial.asp?bassnum=Q304A</t>
  </si>
  <si>
    <t>http://www.matweb.com/search/SpecificMaterial.asp?bassnum=METa01</t>
  </si>
  <si>
    <t>http://www.matweb.com/search/SpecificMaterial.asp?bassnum=PDU923</t>
  </si>
  <si>
    <t>http://www.matweb.com/search/SpecificMaterial.asp?bassnum=O1902</t>
  </si>
  <si>
    <t>http://www.matweb.com/search/SpecificMaterial.asp?bassnum=MEW000</t>
  </si>
  <si>
    <t>OSR (silvered fused silica)</t>
  </si>
  <si>
    <t>OSR (diffuse)</t>
  </si>
  <si>
    <t>OSR (ITO coated)</t>
  </si>
  <si>
    <t>Aluminized Teflon 0.5 mil</t>
  </si>
  <si>
    <t>Aluminized Teflon 1 mil</t>
  </si>
  <si>
    <t>Aluminized Teflon 2 mil</t>
  </si>
  <si>
    <t>Aluminized Teflon 5 mil</t>
  </si>
  <si>
    <t>Aluminized Teflon 10 mil</t>
  </si>
  <si>
    <t>Aluminized Teflon 7.5 mil</t>
  </si>
  <si>
    <t>Silver Teflon 2 mil</t>
  </si>
  <si>
    <t>Silver Teflon 5 mil</t>
  </si>
  <si>
    <t>Silver Teflon 10 mil</t>
  </si>
  <si>
    <t>Z306 Black 3 mil BOL</t>
  </si>
  <si>
    <t>Z306 Black 3 mil 3 years GEO</t>
  </si>
  <si>
    <t>Z306 Black 3 mil 5 years GEO</t>
  </si>
  <si>
    <t>Catalac Black</t>
  </si>
  <si>
    <t>Chemglaze Z306 BOL</t>
  </si>
  <si>
    <t>Chemglaze Z306 EOL</t>
  </si>
  <si>
    <t>Delrin Black plastic</t>
  </si>
  <si>
    <t>Martin Black paint N-150-1</t>
  </si>
  <si>
    <t>Martin Black Velvet paint</t>
  </si>
  <si>
    <t>Parsons black paint</t>
  </si>
  <si>
    <t>3M Black Velvet paint BOL</t>
  </si>
  <si>
    <t>3M Black Velvet paint 2.5 years</t>
  </si>
  <si>
    <t>3M Black Velvet paint EOL</t>
  </si>
  <si>
    <t>Aluminized Kapton 0.08 mil</t>
  </si>
  <si>
    <t>Aluminized Kapton 0.15 mil</t>
  </si>
  <si>
    <t>Aluminized Kapton 0.25 mil</t>
  </si>
  <si>
    <t>Aluminized Kapton 0.5 mil</t>
  </si>
  <si>
    <t>Aluminized Kapton 1 mil BOL</t>
  </si>
  <si>
    <t>Aluminized Kapton 1 mil 3 years GEO</t>
  </si>
  <si>
    <t>Aluminized Kapton 1 mil 5 years GEO</t>
  </si>
  <si>
    <t>Aluminized Kapton 2 mil BOL</t>
  </si>
  <si>
    <t>Aluminized Kapton 2 mil 3 years GEO</t>
  </si>
  <si>
    <t>Aluminized Kapton 2 mil 5 years GEO</t>
  </si>
  <si>
    <t>Aluminized Kapton 2 mil (ITO coating) BOL</t>
  </si>
  <si>
    <t>Aluminized Kapton 2 mil (ITO coating) 3 years</t>
  </si>
  <si>
    <t>Aluminized Kapton 3 mil</t>
  </si>
  <si>
    <t>Aluminized Kapton 5 mil BOL</t>
  </si>
  <si>
    <t>Aluminized Kapton 5 mil 2.5 years</t>
  </si>
  <si>
    <t>Aluminized Kapton 5 mil EOL</t>
  </si>
  <si>
    <t>Aluminized Kapton (SiO coated) 0.5 mil BOL</t>
  </si>
  <si>
    <t>Aluminized Kapton (SiO coated) 0.5 mil 4000 hours UV</t>
  </si>
  <si>
    <t>Aluminized Kapton (Al2O3 coated) 1 mil BOL</t>
  </si>
  <si>
    <t>Aluminized Kapton (Al2O3 coated) 1 mil 1800 hours UV</t>
  </si>
  <si>
    <t>Aluminized Kapton (SiO coated) 1 mil BOL</t>
  </si>
  <si>
    <t>Aluminized Kapton (SiO coated) 1 mil 2400 hours UV</t>
  </si>
  <si>
    <t>Silvered Kapton (Al2O3 coated) 1 mil</t>
  </si>
  <si>
    <t>Silvered Kapton (Al2O3 coated) 1 mil 2400 hours UV</t>
  </si>
  <si>
    <t>Black Kapton (carbon loaded) 1 mil BOL</t>
  </si>
  <si>
    <t>Black Kapton (carbon loaded) 1 mil 5 years GEO</t>
  </si>
  <si>
    <t>Black Kapton (carbon loaded) 1 mil 10 years GEO</t>
  </si>
  <si>
    <t>Goldized Teflon 0.5 mil</t>
  </si>
  <si>
    <t>Goldized Teflon 1 mil</t>
  </si>
  <si>
    <t>Goldized Teflon 5 mil</t>
  </si>
  <si>
    <t>Goldized Teflon 10 mil</t>
  </si>
  <si>
    <t>Cat-a-lac white paint</t>
  </si>
  <si>
    <t>Chemglaze A276 white paint BOL</t>
  </si>
  <si>
    <t>Chemglaze A276 white paint 15000 UV in LEO, no atomic oxygen</t>
  </si>
  <si>
    <t>Chemglaze A276 white paint 15000 UV in LEO, atomic oxygen exposure</t>
  </si>
  <si>
    <t>S13 GLO white paint BOL</t>
  </si>
  <si>
    <t>S13 GLO white paint 4 years GEO</t>
  </si>
  <si>
    <t>S-13G-LO white silicon paint 10 mil BOL</t>
  </si>
  <si>
    <t>S-13G-LO white silicon paint 10 mil 3 years GEO</t>
  </si>
  <si>
    <t>S-13G-LO white silicon paint 10 mil 5 years GEO</t>
  </si>
  <si>
    <t>Aluminum, buffed</t>
  </si>
  <si>
    <t>Aluminum, heavily oxidized</t>
  </si>
  <si>
    <t>Aluminum, polished BOL</t>
  </si>
  <si>
    <t>Aluminum, polished EOL</t>
  </si>
  <si>
    <t>Aluminum, vapor deposited</t>
  </si>
  <si>
    <t>Beryllium Copper</t>
  </si>
  <si>
    <t>Chromium, vapor deposited on glass</t>
  </si>
  <si>
    <t>Chromium, vapor deposited on 5 mil kapton</t>
  </si>
  <si>
    <t>Constantan- metal strip</t>
  </si>
  <si>
    <t>Copper, buffed</t>
  </si>
  <si>
    <t>Copper foil tape, plain</t>
  </si>
  <si>
    <t>Copper foil tape, sanded</t>
  </si>
  <si>
    <t>Copper foil tape, tarnished</t>
  </si>
  <si>
    <t>Germanium, vapor deposited on glass</t>
  </si>
  <si>
    <t>Gold, vapor deposited on glass</t>
  </si>
  <si>
    <t>Gold, electroplated</t>
  </si>
  <si>
    <t>Gold, polished BOL</t>
  </si>
  <si>
    <t>Gold, polished EOL</t>
  </si>
  <si>
    <t>Gold, sandblasted</t>
  </si>
  <si>
    <t>Inconel X foil, 1 mil</t>
  </si>
  <si>
    <t>Iron Oxide, vapor deposited on glass</t>
  </si>
  <si>
    <t>Molybdenum, vapor deposited on glass</t>
  </si>
  <si>
    <t>Nickel, vapor deposited on glass</t>
  </si>
  <si>
    <t>Nickel, electroless</t>
  </si>
  <si>
    <t>Platinum foil</t>
  </si>
  <si>
    <t>Rhodium, vapor deposited on glass</t>
  </si>
  <si>
    <t>Silver, vapor deposited on glass (un-oxidized)</t>
  </si>
  <si>
    <t>Silver, polished (un-oxidized)</t>
  </si>
  <si>
    <t>Silver, oxidized</t>
  </si>
  <si>
    <t>Silver, Denton vapor deposited with protective coat</t>
  </si>
  <si>
    <t>Stainless Steel, polished</t>
  </si>
  <si>
    <t>Stainless Steel</t>
  </si>
  <si>
    <t>Stainless Steel, sandblasted</t>
  </si>
  <si>
    <t>Stainless Steel, Machine rolled</t>
  </si>
  <si>
    <t>Stainless Steel 304, 1 mil foil</t>
  </si>
  <si>
    <t>Tantalum foil</t>
  </si>
  <si>
    <t>Titanium, vapor deposited on glass</t>
  </si>
  <si>
    <t>Titanium</t>
  </si>
  <si>
    <t>Tungsten, polished</t>
  </si>
  <si>
    <t>Tungsten, vapor deposited on glass</t>
  </si>
  <si>
    <t>Black Anodize Aluminum</t>
  </si>
  <si>
    <t>Blue Anodize Aluminum</t>
  </si>
  <si>
    <t>Clear Anodize Aluminum</t>
  </si>
  <si>
    <t>Gold Anodize Aluminum</t>
  </si>
  <si>
    <t>Green Anodize Aluminum</t>
  </si>
  <si>
    <t>Red Anodize Aluminum</t>
  </si>
  <si>
    <t>Yellow Anodize Aluminum</t>
  </si>
  <si>
    <t>TiNOX on copper</t>
  </si>
  <si>
    <t>Maxsorb, nickel oxide or black chrome on nickel foil</t>
  </si>
  <si>
    <t>Anodized titanium foil 1 mil BOL</t>
  </si>
  <si>
    <t>Anodized titanium foil 1 mil 5 years GEO</t>
  </si>
  <si>
    <t>Aluminum Oxide on buffed aluminum BOL</t>
  </si>
  <si>
    <t>Aluminum Oxide on buffed aluminum 2560 hours UV</t>
  </si>
  <si>
    <t>Aluminum Oxide on fused silica glass</t>
  </si>
  <si>
    <t>NASA/GSFC dark mirror coating SiO-Cr-Al</t>
  </si>
  <si>
    <t>NASA/GSFC composite, SiOx-Al2-Ag</t>
  </si>
  <si>
    <t>Vespel polyimide SP1</t>
  </si>
  <si>
    <t>Polyethylene black</t>
  </si>
  <si>
    <t>Tedlar, black</t>
  </si>
  <si>
    <t>Tedlar, white</t>
  </si>
  <si>
    <t>Fiberglass polyimide BOL</t>
  </si>
  <si>
    <t>Fiberglass epoxy (BOL and EOL are the same)</t>
  </si>
  <si>
    <t>Fiberglass polyimide 2.5 years</t>
  </si>
  <si>
    <t>Fiberglass polyimide EOL</t>
  </si>
  <si>
    <t>Graphite epoxy (BOL and EOL are the same)</t>
  </si>
  <si>
    <t>Astroquartz fabric</t>
  </si>
  <si>
    <t>Beta Cloth</t>
  </si>
  <si>
    <t>Grafoil BOL</t>
  </si>
  <si>
    <t>Grafoil EOL</t>
  </si>
  <si>
    <t>alpha
(solar)</t>
  </si>
  <si>
    <t>epsilon
(IR)</t>
  </si>
  <si>
    <t>alpha/
epsilon</t>
  </si>
  <si>
    <t>Time (years)</t>
  </si>
  <si>
    <t>alpha increase</t>
  </si>
  <si>
    <t>Time (year)</t>
  </si>
  <si>
    <t>LEO alpha increase</t>
  </si>
  <si>
    <t>GEO alpha increase</t>
  </si>
  <si>
    <t>Spacecraft Thermal Control Handbook Volume I: Fundamental Technologies, ed. David G. Gilmore, 2nd edition, The Aerospace Press, 2002, p. 791-801</t>
  </si>
  <si>
    <t>Spacecraft Thermal Control Handbook Volume I: Fundamental Technologies, ed. David G. Gilmore, 2nd edition, The Aerospace Press, 2002, p. 152-153</t>
  </si>
  <si>
    <t>pnj</t>
  </si>
  <si>
    <t>hdh</t>
  </si>
  <si>
    <t>2005-01-31</t>
  </si>
  <si>
    <t>2005-01-28</t>
  </si>
  <si>
    <t>Initial Release of Room Temp. Properties; Cryo to be added with next revision.</t>
  </si>
  <si>
    <t>Black Paints</t>
  </si>
  <si>
    <t>T</t>
  </si>
  <si>
    <t>T (K)</t>
  </si>
  <si>
    <t>Emittance</t>
  </si>
  <si>
    <t>NPL SuperBlack</t>
  </si>
  <si>
    <t>ESLI VelBlack#2</t>
  </si>
  <si>
    <t>Ball IR Black</t>
  </si>
  <si>
    <t>Deep Sky Black</t>
  </si>
  <si>
    <t>Ferrous Oxide</t>
  </si>
  <si>
    <t>EccoSorb</t>
  </si>
  <si>
    <t>White Paints</t>
  </si>
  <si>
    <t>Metals</t>
  </si>
  <si>
    <t>Copper</t>
  </si>
  <si>
    <t>Al</t>
  </si>
  <si>
    <t>Films</t>
  </si>
  <si>
    <t>Fused Quartz OSR</t>
  </si>
  <si>
    <t>B</t>
  </si>
  <si>
    <t>Added Cryogenic properties</t>
  </si>
  <si>
    <t>Spacecraft Thermal Control Handbook Volume II: Cryogenics Pages 332,333, and 570</t>
  </si>
  <si>
    <t>"Spacecraft Thermal Control Handbook Volume II: Cryogenics" ed. Martin Donabedian p. 600</t>
  </si>
  <si>
    <t>GSFC TFAWS Seminar "An Overview of Thermal Control Coatings and Environmental Effects", 9/3/2004 Dan Butler</t>
  </si>
  <si>
    <t>"Spacecraft Thermal Control Handbook Volume II: Cryogenics" ed. Martin Donabedian p. 599</t>
  </si>
  <si>
    <t>"Spacecraft Thermal Control Handbook Volume II: Cryogenics" ed. Martin Donabedian p. 591</t>
  </si>
  <si>
    <t>"Spacecraft Thermal Control Handbook Volume II: Cryogenics" ed. Martin Donabedian p. 592-594</t>
  </si>
  <si>
    <t>"Spacecraft Thermal Control Handbook Volume II: Cryogenics" ed. Martin Donabedian p. 601</t>
  </si>
  <si>
    <t>http://www.k-technology.com/Graphite.htm</t>
  </si>
  <si>
    <t>http://www.techapps.com/GFTS%20info%20paper072104.pdf</t>
  </si>
  <si>
    <t>"Spacecraft Thermal Control Handbook Volume II: Cryogenics" ed. Martin Donabedian p. 569</t>
  </si>
  <si>
    <t>http://optics.nasa.gov/tech_days/tech_days_2002/docs/31XineticsLargeLowTemperatureSiliconCarbideMirrors.pdf</t>
  </si>
  <si>
    <t>http://snap.lbl.gov/bscw/bscw.cgi/d64154/Coefficients%20of%20Linear%20Expansion</t>
  </si>
  <si>
    <t>Ball data that Dave Pankow Gave me. (see chart to right)</t>
  </si>
  <si>
    <t>Data that Dave Pankow Gave me. This sheet is labeled "TPRC 161 Vol 12 1977" (see chart to right)</t>
  </si>
  <si>
    <t>"Spacecraft Thermal Control Handbook Volume II: Cryogenics" Ed. Martin Donabedian, The Aerospace Press, 2003 p. 577-579</t>
  </si>
  <si>
    <t>6061-T6 Al</t>
  </si>
  <si>
    <t>304 SS</t>
  </si>
  <si>
    <t>718 Inconel</t>
  </si>
  <si>
    <t>Ti-6Al-4V</t>
  </si>
  <si>
    <t>NbTi</t>
  </si>
  <si>
    <t>Teflon</t>
  </si>
  <si>
    <t>Polyamide</t>
  </si>
  <si>
    <t>G10 CR (Normal)</t>
  </si>
  <si>
    <t>G10 CR (warp)</t>
  </si>
  <si>
    <t>Data that Dave Pankow Gave me. This sheet is unlabeled. (see chart to right)</t>
  </si>
  <si>
    <t>Data Dave Pankow gave me. This sheet is labeled "TPRC Vol 12 1977" (See Chart at right)</t>
  </si>
  <si>
    <t>Data Dave Pankow gave me. This sheet is unlabeled (See chart of right)</t>
  </si>
  <si>
    <t>Cu60.6Zn37.0Fe0.5Pb1.9</t>
  </si>
  <si>
    <t>Cu85.6Zn12.0Mn1.0Fe0.6Sn0.3Pb0.5</t>
  </si>
  <si>
    <t>Cu56.9Zn40.00.2Mn0.8Fe1.2Sn0.7Pb0.2</t>
  </si>
  <si>
    <t>Cu60.8Zn39.0Fe0.2</t>
  </si>
  <si>
    <t>Reference Temperature = 293 K All CTE's from Cryogenic CTE sheet</t>
  </si>
  <si>
    <t>"Spacecraft Thermal Control Handbook Volume II: Cryogenics" Ed. Martin Donabedian, The Aerospace Press, 2003 p. 576</t>
  </si>
  <si>
    <t>T(K)</t>
  </si>
  <si>
    <t>OFCH Copper</t>
  </si>
  <si>
    <t>6061 Aluminum</t>
  </si>
  <si>
    <t>Polyimide</t>
  </si>
  <si>
    <t>G-10CR</t>
  </si>
  <si>
    <t>P. Jelinsky</t>
  </si>
  <si>
    <t>2005-02-08</t>
  </si>
  <si>
    <t>Coefficient</t>
  </si>
  <si>
    <t>6061-T6
Aluminum</t>
  </si>
  <si>
    <t>a</t>
  </si>
  <si>
    <t>b</t>
  </si>
  <si>
    <t>d</t>
  </si>
  <si>
    <t>e</t>
  </si>
  <si>
    <t>f</t>
  </si>
  <si>
    <t>g</t>
  </si>
  <si>
    <t>h</t>
  </si>
  <si>
    <t>i</t>
  </si>
  <si>
    <t>Tmin</t>
  </si>
  <si>
    <t>Tmax</t>
  </si>
  <si>
    <t>c</t>
  </si>
  <si>
    <t>http://cryogenics.nist.gov/NewFiles/material_properties.html</t>
  </si>
  <si>
    <t>304-SS</t>
  </si>
  <si>
    <t>log10(T)</t>
  </si>
  <si>
    <t>1100-Al</t>
  </si>
  <si>
    <t>OFHC
Copper</t>
  </si>
  <si>
    <t>310-SS</t>
  </si>
  <si>
    <t>316-SS</t>
  </si>
  <si>
    <t>% error</t>
  </si>
  <si>
    <t>Beryllium
Copper</t>
  </si>
  <si>
    <t>Kevlar-49</t>
  </si>
  <si>
    <t>Polyamide
(Nylon)</t>
  </si>
  <si>
    <t>Polyimide
(Kapton)</t>
  </si>
  <si>
    <t>G10-CR
Normal Direction</t>
  </si>
  <si>
    <t>G10-CR
Warp Direction</t>
  </si>
  <si>
    <t>Invar
(Fe-36Ni)</t>
  </si>
  <si>
    <t>Brass</t>
  </si>
  <si>
    <t>Polyethylene
Terephthalate</t>
  </si>
  <si>
    <t>Lead</t>
  </si>
  <si>
    <t>Platinum</t>
  </si>
  <si>
    <t>Nickel Steel
Fe-2.25Ni</t>
  </si>
  <si>
    <t>Nickel Steel
Fe-3.5Ni</t>
  </si>
  <si>
    <t>Nickel Steel
Fe-5.0Ni</t>
  </si>
  <si>
    <t>Nickel Steel
Fe-9.0Ni</t>
  </si>
  <si>
    <t>C</t>
  </si>
  <si>
    <t>http://www.matweb.com/search/SpecificMaterial.asp?bassnum=Q660AC</t>
  </si>
  <si>
    <t>Yield Tensil Strength
(Mpa)</t>
  </si>
  <si>
    <t>Modulus
(Gpa)</t>
  </si>
  <si>
    <t>1110 C</t>
  </si>
  <si>
    <t>75.8 U</t>
  </si>
  <si>
    <t>Notes</t>
  </si>
  <si>
    <t>6.37 U</t>
  </si>
  <si>
    <t>5.49 U</t>
  </si>
  <si>
    <t>4.71 U</t>
  </si>
  <si>
    <t>2.65 U</t>
  </si>
  <si>
    <t>Stainless Steel A286</t>
  </si>
  <si>
    <t>120 C</t>
  </si>
  <si>
    <t>450 U</t>
  </si>
  <si>
    <t>114 U</t>
  </si>
  <si>
    <t>117 U</t>
  </si>
  <si>
    <t>G-10 Fiberglass Epoxy (NEMA)</t>
  </si>
  <si>
    <t>262 U</t>
  </si>
  <si>
    <t>483 U</t>
  </si>
  <si>
    <t>400 U</t>
  </si>
  <si>
    <t>49.8 U</t>
  </si>
  <si>
    <t>280 F</t>
  </si>
  <si>
    <t>http://www.poco.com/us/SiliconCarbide/properties.asp</t>
  </si>
  <si>
    <t>CTE=1e-6*(a+bT+cT^2+dT^3+eT^4)</t>
  </si>
  <si>
    <t>SiC CVD (Coorstek)</t>
  </si>
  <si>
    <t>SiC Reaction Bonded (Coorstek)</t>
  </si>
  <si>
    <t>SiC Sintered (Coorstek)</t>
  </si>
  <si>
    <t>http://www.coorstek.com/resources/8510-1024sicmfgsemi.pdf</t>
  </si>
  <si>
    <t>468 F</t>
  </si>
  <si>
    <t>480 F</t>
  </si>
  <si>
    <t>SiC sintered (Boostec)</t>
  </si>
  <si>
    <t>450 F</t>
  </si>
  <si>
    <t>http://www.boostec.com/SiCTypicalCharacteristics.pdf</t>
  </si>
  <si>
    <t>SiC CVD (Rohm-Haas)</t>
  </si>
  <si>
    <t>http://www.rohmhaas.com/cvdmaterials/CVD_Sil_Carbide/Prop_TypValue.html</t>
  </si>
  <si>
    <t>470 F</t>
  </si>
  <si>
    <t>http://www.rohmhaas.com/cvdmaterials/CVD_Sil_Carbide/TempDpdt_Prop.html</t>
  </si>
  <si>
    <t>Specific Heat
(J/Kg/K)</t>
  </si>
  <si>
    <t>C      Compressive Strength</t>
  </si>
  <si>
    <t>U      Ultimate Strength</t>
  </si>
  <si>
    <t>F      Flextural Strength</t>
  </si>
  <si>
    <t>*      Ohms per square</t>
  </si>
  <si>
    <t>Dependent on specific vendor and direction</t>
  </si>
  <si>
    <t>Fused Silca OSR degradtation in GEO (Ref 52)</t>
  </si>
  <si>
    <t>Metalized Teflon OSR degradation (Ref 52)</t>
  </si>
  <si>
    <t>3M Nextel 401 Black Velvet (Ref. 53)</t>
  </si>
  <si>
    <t>Parsons Black (2.9 mil)  (Ref. 53)</t>
  </si>
  <si>
    <t>CTL-100 black paint  (Ref. 53)</t>
  </si>
  <si>
    <t>Emittance (Ref. 54)</t>
  </si>
  <si>
    <t>3M Nextel 401A10 (unknown thickness) (Ref. 55)</t>
  </si>
  <si>
    <t>3M Nextel 401A10 (1.4 mil over 0.9 mil primer) (Ref. 55)</t>
  </si>
  <si>
    <t>ZOT paint (unknown thickness, organic binder) (Ref. 55)</t>
  </si>
  <si>
    <t>ZOT paint (unknown thickness, inorganic binder) (Ref. 55)</t>
  </si>
  <si>
    <t>3M Nextel 401A10 (5.1 mil over 0.7 mil primer) (Ref. 55)</t>
  </si>
  <si>
    <t>Emittance (Ref 56.)</t>
  </si>
  <si>
    <t>400 A Au on Mylar (Ref. 57)</t>
  </si>
  <si>
    <t>550 A Au on Mylar (Ref. 57)</t>
  </si>
  <si>
    <t>720 A Au on Mylar (Ref. 57)</t>
  </si>
  <si>
    <t>400 A Au on Kapton (Ref. 57)</t>
  </si>
  <si>
    <t>400 A Au on Copper (Ref. 57)</t>
  </si>
  <si>
    <t>520 A Au on Copper (Ref. 57)</t>
  </si>
  <si>
    <t>2500 A Au on Copper (Ref 57)</t>
  </si>
  <si>
    <t>4000 A Au on Copper (Ref. 57)</t>
  </si>
  <si>
    <t>Electo-deposited Au on polished Al (Ref. 57)</t>
  </si>
  <si>
    <t>Vapor-deposited Au on polished Ni (Ref. 57)</t>
  </si>
  <si>
    <t>Ag overcoated with Al2O3 (Ref. 57)</t>
  </si>
  <si>
    <t>Vapor-deposited Al on buffed Al (Ref. 57)</t>
  </si>
  <si>
    <t>8 mil silvered fused quartz (Ref. 58)</t>
  </si>
  <si>
    <t>10 mil silvered commercial quartz (Ref. 58)</t>
  </si>
  <si>
    <t>7 mil silvered fused quartz (Ref. 58)</t>
  </si>
  <si>
    <t>8 mil silvered fused silica (Ref. 58)</t>
  </si>
  <si>
    <t>Ref 59</t>
  </si>
  <si>
    <t>Al 1100-0 (Ref. 59)</t>
  </si>
  <si>
    <t>Al 6061-T6 (Ref. 59)</t>
  </si>
  <si>
    <t>Al 5083-0 (Ref. 59)</t>
  </si>
  <si>
    <t>AL 99.999 % (Ref. 60)</t>
  </si>
  <si>
    <t>Advanced Pyrolytic Graphite (Ref. 61)</t>
  </si>
  <si>
    <t>K1100 (Ref. 62)</t>
  </si>
  <si>
    <t>OFHC Copper 99.99% (Ref. 63)</t>
  </si>
  <si>
    <t>Ref 66</t>
  </si>
  <si>
    <t>Ref 68</t>
  </si>
  <si>
    <t>Ref 69</t>
  </si>
  <si>
    <t>Ref 70</t>
  </si>
  <si>
    <t>Silicon (Ref. 64)</t>
  </si>
  <si>
    <t>AlN (Ref. 64)</t>
  </si>
  <si>
    <t>Invar36 (Ref. 64)</t>
  </si>
  <si>
    <t>Molybdenum (Ref. 64)</t>
  </si>
  <si>
    <t>Cu98%Be2% (Ref. 66)</t>
  </si>
  <si>
    <t>CTE Reference 67</t>
  </si>
  <si>
    <t>CTE Reference 69</t>
  </si>
  <si>
    <t>Cu (Ref. 70)</t>
  </si>
  <si>
    <t>SiC (Rohm-Haas) (Ref 78)</t>
  </si>
  <si>
    <t>Specific Heat (J/kg/K) (Reference 71)</t>
  </si>
  <si>
    <t>Enter
T (K)</t>
  </si>
  <si>
    <t>Cp=10^(a+blogT+c(logT)^2+d(logT)^3+e(logT)^4+f(logT)^5+g(logT)^6+h(logT)^7+i(logT)^8)  (J/kg/K) (Reference 72)</t>
  </si>
  <si>
    <t>304L-SS</t>
  </si>
  <si>
    <t>3003F-Al</t>
  </si>
  <si>
    <t xml:space="preserve">Nickel Steel
</t>
  </si>
  <si>
    <t>Indium</t>
  </si>
  <si>
    <t>Cp
(J/kg/K)</t>
  </si>
  <si>
    <t>alpha=10^(a+blogT+c(logT)^2+d(logT)^3+e(logT)^4+f(logT)^5+g(logT)^6+h(logT)^7+i(logT)^8)/1e6 (cm/cm/K) (Reference 72)</t>
  </si>
  <si>
    <t>alpha
(1/K)</t>
  </si>
  <si>
    <t>G-10</t>
  </si>
  <si>
    <t>E.D. Marquardt, "Cryogenic Materials Database", Cryocoolers 11, R.G. Ross, ed. (Kluwer Academic/Plenum Publishers, New York, 2000</t>
  </si>
  <si>
    <t>Ref (79)</t>
  </si>
  <si>
    <t>Silicon (Ref 64)</t>
  </si>
  <si>
    <t>AlN (Ref 64)</t>
  </si>
  <si>
    <t>Invar36 (Ref 64)</t>
  </si>
  <si>
    <t>Moly (Ref 64)</t>
  </si>
  <si>
    <t>(L(T)-L(293))/L(293)</t>
  </si>
  <si>
    <t>Tlow</t>
  </si>
  <si>
    <t>(L(t)-L(293))/L(293)=(a+bT+cT^2+dT^3+eT^4)/1e5 if T &gt;= Tlow; = f if T &lt; Tlow; (Ref 72)</t>
  </si>
  <si>
    <t>Expan</t>
  </si>
  <si>
    <t>3003-F Al</t>
  </si>
  <si>
    <t>5083-O -Al</t>
  </si>
  <si>
    <t>Bruls, R. J., Hintzen, H. T., de With, G., Metselaar, R., and van Miltenburg, J. C., "The Temperature dependance ot Gruneisen parameters of MgSiN2, AlN, and beta-Si3N4", Journal of Physics and Chemistry of Solids, 62, (2001), p. 783</t>
  </si>
  <si>
    <t>MgSiN2
(Ref 80)</t>
  </si>
  <si>
    <t>AlN
(Ref 80)</t>
  </si>
  <si>
    <t>b-Si3N4
(Ref 80)</t>
  </si>
  <si>
    <t>All CTE's in units of 1/K</t>
  </si>
  <si>
    <t>MgSiN2
(J/kg/K)
(Ref 80)</t>
  </si>
  <si>
    <t>AlN
(J/kg/K)
(Ref 80)</t>
  </si>
  <si>
    <t>b-Si3N4
(J/kg/K)
(Ref 80)</t>
  </si>
  <si>
    <t>Gibbons, D. F., "Thermal Expansion of Some Crystals with Diamond Structure", Physical Review, 112, (1958), p. 136</t>
  </si>
  <si>
    <t>&lt;-0.06e-6</t>
  </si>
  <si>
    <t>Ref (81)</t>
  </si>
  <si>
    <t>Si</t>
  </si>
  <si>
    <t>Ge</t>
  </si>
  <si>
    <t>InSb</t>
  </si>
  <si>
    <t>SiC Ceraform (Xinetics)</t>
  </si>
  <si>
    <t>E (Gpa)</t>
  </si>
  <si>
    <t>5083-Al</t>
  </si>
  <si>
    <t>E=(a+bT+cT^2+dT^3+eT^4) (Gpa) (Ref 72)</t>
  </si>
  <si>
    <t>Removed Some Room Temperature Materials, Added NIST Cryogenic Database,
Added several SiC, corrected some Yield strength numbers, Added notes, Added Cryogenic Young's Modulus</t>
  </si>
  <si>
    <t>Invar 36</t>
  </si>
  <si>
    <t>Moly</t>
  </si>
  <si>
    <t>G10</t>
  </si>
  <si>
    <t>From Ref 72 below</t>
  </si>
  <si>
    <t>From Above (Ref 72)</t>
  </si>
  <si>
    <t>Poco SiC</t>
  </si>
  <si>
    <t>Ceraform SiC
(Ref. 65)</t>
  </si>
  <si>
    <t>Ceraform SiC</t>
  </si>
  <si>
    <t>SiC (Rohm-Haas)</t>
  </si>
  <si>
    <t>2005-05-12</t>
  </si>
  <si>
    <t>http://snap.lbl.gov/bscw/bscw.cgi/d128689/Hysol%20EA_9361%20data</t>
  </si>
  <si>
    <t>Hysol EA9361</t>
  </si>
  <si>
    <t>Cp = (J/kg/K) (ref 82)</t>
  </si>
  <si>
    <t>Cp 
(J/kg/K)</t>
  </si>
  <si>
    <t>(L(t)-L(293))/L(293)=a+bt+ct^2+dt^3+et^4 (Ref 82)</t>
  </si>
  <si>
    <t>Hysol EA9362</t>
  </si>
  <si>
    <t>Coeff</t>
  </si>
  <si>
    <t>alpha = a + bt + ct^2 + dt^3 (ref 82)</t>
  </si>
  <si>
    <t>Alpha
(1/K)</t>
  </si>
  <si>
    <t>Hysol EA9361 (ref 82)</t>
  </si>
  <si>
    <t>Tensil Strength (Mpa)</t>
  </si>
  <si>
    <t>alpha (1/K)</t>
  </si>
  <si>
    <t>200 - 294</t>
  </si>
  <si>
    <t>89 - 144</t>
  </si>
  <si>
    <t>144 - 200</t>
  </si>
  <si>
    <t>Epo-Tek 301-2 (Ref 83)</t>
  </si>
  <si>
    <t>http://snap.lbl.gov/bscw/bscw.cgi/d127917/Emmet%20glue%20data.pdf</t>
  </si>
  <si>
    <t>Epo-Tek 301-2
Flextural Modulus
(Ref 83)</t>
  </si>
  <si>
    <t>Epo-Tek 301-2
Tensil Modulus
(Ref 83)</t>
  </si>
  <si>
    <t>D</t>
  </si>
  <si>
    <t>coeff</t>
  </si>
  <si>
    <t>http://www.berylliumproducts.com/web/bpdweb.nsf/LITLOOKUP/4A44FB211BF77D3B85256A39005DF9A3</t>
  </si>
  <si>
    <t>alpha = a + bT + cT^2 + dT^3 + eT^5 (ref 85)</t>
  </si>
  <si>
    <t>http://www.berylliumproducts.com/web/bpdweb.nsf/LITLOOKUP/CEA11061707CE94785256A39005E047D</t>
  </si>
  <si>
    <t>SiC (Ceraform) (Ref 86)</t>
  </si>
  <si>
    <t>http://www.xinetics.com/sic_material.html</t>
  </si>
  <si>
    <t>Added Hysol EA9361, EpoTek 301-2, Ceraform SiC, and Be</t>
  </si>
  <si>
    <t>2005-14-06</t>
  </si>
  <si>
    <t>Be</t>
  </si>
  <si>
    <t>Ref 85</t>
  </si>
  <si>
    <t xml:space="preserve"> </t>
  </si>
  <si>
    <t xml:space="preserve">  </t>
  </si>
  <si>
    <t>http://www.efunda.com/materials/elements/TC_Table.cfm?Element_ID=Mg</t>
  </si>
  <si>
    <t>Magnesium (ref 87)</t>
  </si>
  <si>
    <t>E</t>
  </si>
  <si>
    <t>SiC (SSG)</t>
  </si>
  <si>
    <t>http://snap.lbl.gov/bscw/bscw.cgi/d136917/SSG%20SiC%20Overview%20SNAP.pdf</t>
  </si>
  <si>
    <t>249 B</t>
  </si>
  <si>
    <t>B     Bend Strength</t>
  </si>
  <si>
    <t>SiC (SSG) (Ref 88)</t>
  </si>
  <si>
    <t>alpha</t>
  </si>
  <si>
    <t>SIC (SSG)</t>
  </si>
  <si>
    <t>SiC (IBCOL)</t>
  </si>
  <si>
    <t>210 B</t>
  </si>
  <si>
    <t>http://snap.lbl.gov/bscw/bscw.cgi/d135424/IBCOL-SCI-2004.pdf</t>
  </si>
  <si>
    <t>alpha = a + bT + cT^2 + dT^3 (ref 89)</t>
  </si>
  <si>
    <t>Poco SiC
(Ref 90)</t>
  </si>
  <si>
    <t>http://snap.lbl.gov/bscw/bscw.cgi/d135735/POCO-Cryo%20CTE.xls</t>
  </si>
  <si>
    <t>SiC (Poco SuperSIC-1)</t>
  </si>
  <si>
    <t>SiC (Poco SuperSIC-5)</t>
  </si>
  <si>
    <t>147 F</t>
  </si>
  <si>
    <t>201 F</t>
  </si>
  <si>
    <t>http://snap.lbl.gov/bscw/bscw.cgi/d135747/POCO-Property%20Table%20for%20SuperSiC%20Rev.doc</t>
  </si>
  <si>
    <t>POCO SuperSIC-1 (ref 92)</t>
  </si>
  <si>
    <t>POCO SuperSIC-5 (ref 92)</t>
  </si>
  <si>
    <t>http://snap.lbl.gov/bscw/bscw.cgi/d135741/POCO-Cryo%20TC.xls</t>
  </si>
  <si>
    <t>POCO SuperSiC-1 (Ref 92)</t>
  </si>
  <si>
    <t>POCO SuperSiC-5 (Ref 92)</t>
  </si>
  <si>
    <t>SiC UltraSiC (CoorsTek)</t>
  </si>
  <si>
    <t>http://snap.lbl.gov/bscw/bscw.cgi/d135954/SNAP%20presentation%206-22-05.pps</t>
  </si>
  <si>
    <t>Added Mg, SSG SiC, IBCOL SiC, POCO SiC, CoorsTek SiC, Several Corrections</t>
  </si>
  <si>
    <t>CoorsTek UltraSiC (ref 93)</t>
  </si>
  <si>
    <t>SiC (CoorsTek)</t>
  </si>
  <si>
    <t>From CTE Ref 74, 65, 78, 88, 89 and 93)</t>
  </si>
  <si>
    <t>F</t>
  </si>
  <si>
    <t>Added HgCdTe Thermal expansion</t>
  </si>
  <si>
    <t>"Properties of Narrow Gap Cadmium based Componds", Ed. Peter Capper, INSPEC, 1994, p.44-47</t>
  </si>
  <si>
    <t>x</t>
  </si>
  <si>
    <t>0</t>
  </si>
  <si>
    <t>0.2</t>
  </si>
  <si>
    <t>0.7</t>
  </si>
  <si>
    <t>1</t>
  </si>
  <si>
    <t>HgTe</t>
  </si>
  <si>
    <t>Hg0.8Cd0.2Te</t>
  </si>
  <si>
    <t>CdTe</t>
  </si>
  <si>
    <t>From CTE Ref 94)</t>
  </si>
  <si>
    <t>Hg0.3Cd0.7Te</t>
  </si>
  <si>
    <t>alpha Hg(1-x)Cd(x)Te Ref 94 (5-8% errors)</t>
  </si>
  <si>
    <t>G</t>
  </si>
  <si>
    <t>density
(kg/m^3)</t>
  </si>
  <si>
    <t>0.01 - 10</t>
  </si>
  <si>
    <t>Zerodur Class 0</t>
  </si>
  <si>
    <t>Zerodur Class 1</t>
  </si>
  <si>
    <t>Zerodur Class 2</t>
  </si>
  <si>
    <t>http://www.us.schott.com/optics_devices/english/products/zerodur/index.html</t>
  </si>
  <si>
    <t>+-2e-8</t>
  </si>
  <si>
    <t>+-5e-8</t>
  </si>
  <si>
    <t>+-1e-7</t>
  </si>
  <si>
    <t>+-3e-8</t>
  </si>
  <si>
    <t>219.8 A</t>
  </si>
  <si>
    <t>A     Characteristic Strength (Acid etched)</t>
  </si>
  <si>
    <t>K (W/(m*K))</t>
  </si>
  <si>
    <t>K=10^(a+blogT+c(logT)^2+d(logT)^3+e(logT)^4+f(logT)^5+g(logT)^6+h(logT)^7+i(logT)^8) (W/(m*K)) (Reference 72)</t>
  </si>
  <si>
    <t>K
(W/(m*K))</t>
  </si>
  <si>
    <t>K = 10^((a + cT^0.5 + eT + gT^1.5 + iT^2)/(1 + bT^0.5 + dT +fT^1.5 + hT^2)) (W/(m*K)) (Ref 72)</t>
  </si>
  <si>
    <t>K = a+bT+cT^2 (W/(m*K)) (Ref 82)</t>
  </si>
  <si>
    <t>K=a+bT+cT^2+dT^3 (W/(m*K)) (Ref 84)</t>
  </si>
  <si>
    <t>https://cindasdata.com/</t>
  </si>
  <si>
    <t>Si (ref 96)</t>
  </si>
  <si>
    <t>(J/(kg*K)</t>
  </si>
  <si>
    <t>Si (Ref 96)</t>
  </si>
  <si>
    <t>Silicon (Ref. 96)</t>
  </si>
  <si>
    <t>Al2O3 Sapphire (ref 96)</t>
  </si>
  <si>
    <t>Al2O3 Sapphire (Ref 96)</t>
  </si>
  <si>
    <t>Hi purity Be (ref 96)</t>
  </si>
  <si>
    <t>Be (Ref 96)</t>
  </si>
  <si>
    <t>Be (Ref. 96)</t>
  </si>
  <si>
    <t>Mo (ref 96)</t>
  </si>
  <si>
    <t>Mo (Ref 96)</t>
  </si>
  <si>
    <t>Polycrystalline</t>
  </si>
  <si>
    <t>//c-axis</t>
  </si>
  <si>
    <t>AlN (Ref. 96)</t>
  </si>
  <si>
    <t>AlN (ref 96)</t>
  </si>
  <si>
    <t>AlN (Ref 96)</t>
  </si>
  <si>
    <t>W (Ref. 96)</t>
  </si>
  <si>
    <t>W (ref 96)</t>
  </si>
  <si>
    <t>W (Ref 96)</t>
  </si>
  <si>
    <t>Liquid</t>
  </si>
  <si>
    <t>Solid</t>
  </si>
  <si>
    <t>State</t>
  </si>
  <si>
    <t>In (ref 96)</t>
  </si>
  <si>
    <t>In (Ref. 96)</t>
  </si>
  <si>
    <t>In (Ref 96)</t>
  </si>
  <si>
    <t>k 
(W/(m*K))</t>
  </si>
  <si>
    <t>Cp
(J/(kg*K))</t>
  </si>
  <si>
    <t>CTE
(m/(m*K))</t>
  </si>
  <si>
    <t>Resistivity
(ohm m)</t>
  </si>
  <si>
    <t>http://www.us.schott.com/optics_devices/english/download/tie-37_thermal_expansion_of_zerodur_us.pdf</t>
  </si>
  <si>
    <t>Fused Silica (ref. 97)</t>
  </si>
  <si>
    <t>Borosilicate (Ref. 97)</t>
  </si>
  <si>
    <t>ULE (Ref. 97)</t>
  </si>
  <si>
    <t>Zerodur (Ref. 97)</t>
  </si>
  <si>
    <t>Green Zerodur (Ref. 97)</t>
  </si>
  <si>
    <t>Type I</t>
  </si>
  <si>
    <t>Type IIa</t>
  </si>
  <si>
    <t>Type IIb</t>
  </si>
  <si>
    <t>Diamond  K (W/(m*K)) (Ref 96)</t>
  </si>
  <si>
    <t>Converted to SI units, added Zerodur, Si, sapphire, Mo, Be, AlN, W, In, Borosilicate, Fused Silica, ULE, Diamond, corrected teflon specific heat</t>
  </si>
  <si>
    <t>Diamond (Ref 96)</t>
  </si>
  <si>
    <t>H</t>
  </si>
  <si>
    <t>Invar 36 (ref 96)</t>
  </si>
  <si>
    <t>Poissons Ratio</t>
  </si>
  <si>
    <t>Al 6061-T6 (ref 96)</t>
  </si>
  <si>
    <t>1/2 Hard</t>
  </si>
  <si>
    <t>Annealed</t>
  </si>
  <si>
    <t>Hard</t>
  </si>
  <si>
    <t>Beryllium Copper Alloy C172 (ref 96)</t>
  </si>
  <si>
    <t>Al 6063-T5</t>
  </si>
  <si>
    <t>http://www.matweb.com/search/SpecificMaterial.asp?bassnum=MA6063T5</t>
  </si>
  <si>
    <t>Aluminum 6063-T5 (ref 96)</t>
  </si>
  <si>
    <t>SiC (ECM Cesic)</t>
  </si>
  <si>
    <t>164 B</t>
  </si>
  <si>
    <t>http://www.cesic.de/prospekte/cesic_mf_data_en.pdf</t>
  </si>
  <si>
    <t>SiC (Cesic) (ref 99)</t>
  </si>
  <si>
    <t>SiC (Cesic) (Ref 99)</t>
  </si>
  <si>
    <t>Cesic (Ref 99)</t>
  </si>
  <si>
    <t>3 Point Bending Strength (Mpa)</t>
  </si>
  <si>
    <t>Cesic (ref 99)</t>
  </si>
  <si>
    <t>Fixed Coorstek SiC Reaction bonded CTE (room Temp). Added Tensil strength of Invar, Al 6061, and BeCu, poisson's ratio of Invar and Si. Young's Modulus of Si. Added Al 6063-T5, Cesic Properties.</t>
  </si>
  <si>
    <t>I</t>
  </si>
  <si>
    <t>Fermilab Report "Fermilab-TM-2366-A"</t>
  </si>
  <si>
    <t>Tra-Con F113</t>
  </si>
  <si>
    <t>Epotek 301-2</t>
  </si>
  <si>
    <t>Hysol EA 9361</t>
  </si>
  <si>
    <t>Poissons Ratio (ref 100)</t>
  </si>
  <si>
    <t>Young's Modulus (Gpa) (ref 100)</t>
  </si>
  <si>
    <t>Delta L/L (ref 100)</t>
  </si>
  <si>
    <t>Stress at 0.68%strain (Mpa) (ref 100)</t>
  </si>
  <si>
    <t>6063-T5 Aluminum</t>
  </si>
  <si>
    <t>CuW (20% Cu, 80%W)</t>
  </si>
  <si>
    <t>http://www.matweb.com/search/SpecificMaterial.asp?bassnum=NCMW39</t>
  </si>
  <si>
    <t>http://www.cmwinc.com/metals/metalsframe.html</t>
  </si>
  <si>
    <t>CuW (20%Cu, 80%W) (Ref 96)</t>
  </si>
  <si>
    <t>K (W/m/k)</t>
  </si>
  <si>
    <t>http://spiedl.aip.org/getpdf/servlet/GetPDFServlet?filetype=pdf&amp;id=PSISDG004771000001000222000001&amp;idtype=cvips&amp;prog=normal
SPIE Vol 4771 page 222</t>
  </si>
  <si>
    <t>AlBeMet162 Ref 103</t>
  </si>
  <si>
    <t>AlBeMet162</t>
  </si>
  <si>
    <t>http://www.berylliumproducts.com/web/bpdweb.nsf/AllDocsByID/8D86FFC3AC93EBD985256F26004C8B7E/$File/AlBeMet+Properties+Catalog.pps</t>
  </si>
  <si>
    <t>AlBeMet162 (Ref 104)</t>
  </si>
  <si>
    <t>AlBeMet162 (Ref. 104)</t>
  </si>
  <si>
    <t>http://www.corning.com/docs/specialtymaterials/pisheets/H0607_hpfs_Standard_ProductSheet.pdf</t>
  </si>
  <si>
    <t>Fused Silica (Corning 7980)</t>
  </si>
  <si>
    <t>R     Moudulus of Rupture</t>
  </si>
  <si>
    <t>52.4 R
54 T
1140 C</t>
  </si>
  <si>
    <t>T     Tensil Strength</t>
  </si>
  <si>
    <t>&gt;1e8</t>
  </si>
  <si>
    <t>PEEK (ref. 106)</t>
  </si>
  <si>
    <t>DL/L</t>
  </si>
  <si>
    <t>PEEK (Ref. 106)</t>
  </si>
  <si>
    <t>Added Fermilab Glue data on Hysol EA 9361, TRA-CON F113, and Epotek 301-2,  6063-T5 Al from nist,  CuW (20%Cu, 80%W) data,  AlBeMet162,  Fused Silica, and Cryo PEEK.</t>
  </si>
  <si>
    <t>Browder, J. S. and Stanley S. Ballard, S. S., "Low Temperature Thermal Expansion Measurements on Optical Materials", Applied Optics, 8, 793, 1969</t>
  </si>
  <si>
    <t>Glass 1173</t>
  </si>
  <si>
    <t>MgF2</t>
  </si>
  <si>
    <t>ZnS</t>
  </si>
  <si>
    <t>CaF2</t>
  </si>
  <si>
    <t>ZnSe</t>
  </si>
  <si>
    <t>MgO</t>
  </si>
  <si>
    <t>Ref. 107</t>
  </si>
  <si>
    <t>Dave Content, GSFC, Private communication</t>
  </si>
  <si>
    <t>Toulouklan, Y.S., "Thermophysical Properties of matter", 1970-1979</t>
  </si>
  <si>
    <t>J</t>
  </si>
  <si>
    <t>JDEM Material Properties Database</t>
  </si>
  <si>
    <r>
      <t>Rev</t>
    </r>
    <r>
      <rPr>
        <sz val="10"/>
        <rFont val="Arial"/>
      </rPr>
      <t xml:space="preserve"> </t>
    </r>
    <r>
      <rPr>
        <b/>
        <sz val="28"/>
        <rFont val="Arial"/>
        <family val="2"/>
      </rPr>
      <t>J</t>
    </r>
  </si>
  <si>
    <r>
      <t>Drawing Number:</t>
    </r>
    <r>
      <rPr>
        <sz val="10"/>
        <rFont val="Arial"/>
      </rPr>
      <t xml:space="preserve">  </t>
    </r>
    <r>
      <rPr>
        <b/>
        <sz val="28"/>
        <rFont val="Arial"/>
        <family val="2"/>
      </rPr>
      <t>0064</t>
    </r>
  </si>
  <si>
    <t>Fused Silica (Ref 108)</t>
  </si>
  <si>
    <t>LiF (Ref 108)</t>
  </si>
  <si>
    <t>LiF (Ref 109, p. 1036)</t>
  </si>
  <si>
    <t>BaF2 (Ref 109, p. 1021)</t>
  </si>
  <si>
    <t>Fused Silica (Ref 109, p. 358)</t>
  </si>
  <si>
    <t>"Thermal expansion of polymers from 4.2. K to room temperature", Cryogenics 1988 Vol 28, p 248</t>
  </si>
  <si>
    <t>Added thermal expansion of Fused Silica, MgF2, ZnS, CaF2, ZnSe, MgO, CdTe, Glass 1173, LiF, and BaF2. Corrected PEEK CTE. Updated to JDEM drawing standards</t>
  </si>
  <si>
    <t>my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</si>
</sst>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71" formatCode="yyyy\-mm\-dd"/>
    <numFmt numFmtId="172" formatCode="yyyy/mm/dd"/>
  </numFmts>
  <fonts count="16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28"/>
      <name val="Arial"/>
      <family val="2"/>
    </font>
    <font>
      <sz val="20"/>
      <color indexed="8"/>
      <name val="Arial"/>
      <family val="2"/>
    </font>
    <font>
      <sz val="1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10"/>
      <color indexed="22"/>
      <name val="Arial"/>
      <family val="2"/>
    </font>
    <font>
      <b/>
      <sz val="10"/>
      <color indexed="22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9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7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8" xfId="1" applyBorder="1" applyAlignment="1" applyProtection="1"/>
    <xf numFmtId="0" fontId="1" fillId="0" borderId="1" xfId="0" applyFont="1" applyBorder="1"/>
    <xf numFmtId="0" fontId="1" fillId="0" borderId="3" xfId="0" applyFont="1" applyBorder="1"/>
    <xf numFmtId="0" fontId="1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5" fillId="0" borderId="12" xfId="0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17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22" xfId="0" applyFont="1" applyBorder="1" applyAlignment="1">
      <alignment horizontal="right"/>
    </xf>
    <xf numFmtId="0" fontId="0" fillId="0" borderId="23" xfId="0" applyBorder="1"/>
    <xf numFmtId="0" fontId="0" fillId="0" borderId="0" xfId="0" applyBorder="1"/>
    <xf numFmtId="0" fontId="5" fillId="0" borderId="24" xfId="0" applyFont="1" applyBorder="1" applyAlignment="1">
      <alignment horizontal="left"/>
    </xf>
    <xf numFmtId="0" fontId="0" fillId="0" borderId="25" xfId="0" applyBorder="1"/>
    <xf numFmtId="0" fontId="0" fillId="0" borderId="26" xfId="0" applyBorder="1"/>
    <xf numFmtId="0" fontId="0" fillId="0" borderId="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1" xfId="0" applyBorder="1"/>
    <xf numFmtId="0" fontId="1" fillId="0" borderId="6" xfId="0" applyFont="1" applyBorder="1"/>
    <xf numFmtId="0" fontId="1" fillId="0" borderId="9" xfId="0" applyFont="1" applyBorder="1"/>
    <xf numFmtId="0" fontId="0" fillId="0" borderId="28" xfId="0" applyBorder="1"/>
    <xf numFmtId="0" fontId="2" fillId="0" borderId="29" xfId="1" applyBorder="1" applyAlignment="1" applyProtection="1"/>
    <xf numFmtId="2" fontId="0" fillId="0" borderId="7" xfId="0" applyNumberFormat="1" applyBorder="1"/>
    <xf numFmtId="2" fontId="0" fillId="0" borderId="10" xfId="0" applyNumberFormat="1" applyBorder="1"/>
    <xf numFmtId="0" fontId="0" fillId="0" borderId="30" xfId="0" applyBorder="1"/>
    <xf numFmtId="0" fontId="0" fillId="0" borderId="31" xfId="0" applyBorder="1"/>
    <xf numFmtId="2" fontId="0" fillId="0" borderId="31" xfId="0" applyNumberFormat="1" applyBorder="1"/>
    <xf numFmtId="0" fontId="0" fillId="0" borderId="32" xfId="0" applyBorder="1"/>
    <xf numFmtId="0" fontId="1" fillId="0" borderId="3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1" fillId="0" borderId="30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0" xfId="0" applyFont="1" applyBorder="1"/>
    <xf numFmtId="0" fontId="0" fillId="0" borderId="0" xfId="0" quotePrefix="1" applyNumberFormat="1" applyAlignment="1">
      <alignment horizontal="right"/>
    </xf>
    <xf numFmtId="0" fontId="1" fillId="0" borderId="7" xfId="0" applyFont="1" applyBorder="1"/>
    <xf numFmtId="164" fontId="0" fillId="0" borderId="7" xfId="0" applyNumberFormat="1" applyBorder="1"/>
    <xf numFmtId="0" fontId="0" fillId="0" borderId="22" xfId="0" applyBorder="1"/>
    <xf numFmtId="0" fontId="1" fillId="0" borderId="22" xfId="0" applyFont="1" applyBorder="1" applyAlignment="1"/>
    <xf numFmtId="0" fontId="0" fillId="0" borderId="0" xfId="0" applyBorder="1" applyAlignment="1"/>
    <xf numFmtId="0" fontId="1" fillId="0" borderId="0" xfId="0" applyFont="1" applyBorder="1" applyAlignment="1"/>
    <xf numFmtId="0" fontId="0" fillId="0" borderId="17" xfId="0" applyBorder="1"/>
    <xf numFmtId="0" fontId="1" fillId="0" borderId="22" xfId="0" applyFont="1" applyBorder="1"/>
    <xf numFmtId="0" fontId="1" fillId="0" borderId="0" xfId="0" applyFont="1" applyBorder="1"/>
    <xf numFmtId="0" fontId="7" fillId="0" borderId="22" xfId="0" applyFont="1" applyBorder="1"/>
    <xf numFmtId="0" fontId="0" fillId="0" borderId="28" xfId="0" applyFill="1" applyBorder="1"/>
    <xf numFmtId="0" fontId="0" fillId="0" borderId="29" xfId="0" applyBorder="1"/>
    <xf numFmtId="0" fontId="1" fillId="0" borderId="0" xfId="0" applyFont="1"/>
    <xf numFmtId="165" fontId="0" fillId="0" borderId="7" xfId="0" applyNumberFormat="1" applyBorder="1"/>
    <xf numFmtId="0" fontId="1" fillId="0" borderId="31" xfId="0" applyFont="1" applyBorder="1"/>
    <xf numFmtId="0" fontId="0" fillId="0" borderId="7" xfId="0" applyFill="1" applyBorder="1"/>
    <xf numFmtId="0" fontId="1" fillId="0" borderId="33" xfId="0" applyFont="1" applyBorder="1"/>
    <xf numFmtId="0" fontId="1" fillId="0" borderId="7" xfId="0" applyFont="1" applyFill="1" applyBorder="1"/>
    <xf numFmtId="0" fontId="5" fillId="0" borderId="24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0" fillId="0" borderId="7" xfId="0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5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7" xfId="0" applyFont="1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6" xfId="0" quotePrefix="1" applyBorder="1" applyAlignment="1">
      <alignment horizontal="right"/>
    </xf>
    <xf numFmtId="0" fontId="0" fillId="0" borderId="7" xfId="0" quotePrefix="1" applyBorder="1" applyAlignment="1">
      <alignment horizontal="right"/>
    </xf>
    <xf numFmtId="11" fontId="1" fillId="0" borderId="25" xfId="0" applyNumberFormat="1" applyFont="1" applyBorder="1"/>
    <xf numFmtId="0" fontId="0" fillId="0" borderId="33" xfId="0" applyBorder="1"/>
    <xf numFmtId="0" fontId="1" fillId="0" borderId="28" xfId="0" applyFont="1" applyBorder="1"/>
    <xf numFmtId="0" fontId="0" fillId="0" borderId="34" xfId="0" applyBorder="1"/>
    <xf numFmtId="0" fontId="0" fillId="0" borderId="28" xfId="0" applyBorder="1" applyAlignment="1">
      <alignment horizontal="right"/>
    </xf>
    <xf numFmtId="11" fontId="0" fillId="0" borderId="34" xfId="0" applyNumberFormat="1" applyBorder="1"/>
    <xf numFmtId="0" fontId="0" fillId="0" borderId="23" xfId="0" applyBorder="1" applyAlignment="1">
      <alignment vertical="top"/>
    </xf>
    <xf numFmtId="0" fontId="5" fillId="0" borderId="22" xfId="0" applyFont="1" applyBorder="1" applyAlignment="1">
      <alignment horizontal="right" vertical="top"/>
    </xf>
    <xf numFmtId="0" fontId="1" fillId="0" borderId="35" xfId="0" applyFont="1" applyBorder="1"/>
    <xf numFmtId="0" fontId="1" fillId="0" borderId="6" xfId="0" applyFont="1" applyFill="1" applyBorder="1"/>
    <xf numFmtId="0" fontId="0" fillId="0" borderId="35" xfId="0" applyBorder="1"/>
    <xf numFmtId="0" fontId="0" fillId="0" borderId="36" xfId="0" applyBorder="1"/>
    <xf numFmtId="11" fontId="0" fillId="0" borderId="10" xfId="0" quotePrefix="1" applyNumberFormat="1" applyBorder="1" applyAlignment="1">
      <alignment horizontal="right"/>
    </xf>
    <xf numFmtId="11" fontId="0" fillId="0" borderId="34" xfId="0" quotePrefix="1" applyNumberFormat="1" applyBorder="1" applyAlignment="1">
      <alignment horizontal="right"/>
    </xf>
    <xf numFmtId="11" fontId="0" fillId="0" borderId="7" xfId="0" applyNumberFormat="1" applyBorder="1" applyAlignment="1">
      <alignment horizontal="right"/>
    </xf>
    <xf numFmtId="2" fontId="0" fillId="0" borderId="34" xfId="0" applyNumberFormat="1" applyBorder="1"/>
    <xf numFmtId="0" fontId="0" fillId="0" borderId="25" xfId="0" applyBorder="1" applyAlignment="1">
      <alignment horizontal="right"/>
    </xf>
    <xf numFmtId="0" fontId="2" fillId="0" borderId="11" xfId="1" applyBorder="1" applyAlignment="1" applyProtection="1"/>
    <xf numFmtId="2" fontId="9" fillId="0" borderId="2" xfId="0" applyNumberFormat="1" applyFont="1" applyBorder="1"/>
    <xf numFmtId="2" fontId="9" fillId="0" borderId="3" xfId="0" applyNumberFormat="1" applyFont="1" applyBorder="1"/>
    <xf numFmtId="0" fontId="8" fillId="0" borderId="1" xfId="0" applyFont="1" applyBorder="1" applyAlignment="1">
      <alignment horizontal="center" wrapText="1"/>
    </xf>
    <xf numFmtId="0" fontId="8" fillId="0" borderId="37" xfId="0" applyFont="1" applyBorder="1" applyAlignment="1">
      <alignment horizontal="center" wrapText="1"/>
    </xf>
    <xf numFmtId="0" fontId="8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11" fontId="0" fillId="0" borderId="39" xfId="0" applyNumberForma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1" fontId="0" fillId="0" borderId="40" xfId="0" applyNumberFormat="1" applyBorder="1" applyAlignment="1">
      <alignment horizontal="center" wrapText="1"/>
    </xf>
    <xf numFmtId="0" fontId="1" fillId="0" borderId="31" xfId="0" applyFont="1" applyBorder="1" applyAlignment="1">
      <alignment wrapText="1"/>
    </xf>
    <xf numFmtId="0" fontId="0" fillId="0" borderId="40" xfId="0" applyBorder="1" applyAlignment="1">
      <alignment horizontal="center" wrapText="1"/>
    </xf>
    <xf numFmtId="0" fontId="1" fillId="0" borderId="36" xfId="0" applyFont="1" applyFill="1" applyBorder="1"/>
    <xf numFmtId="0" fontId="0" fillId="0" borderId="41" xfId="0" applyBorder="1" applyAlignment="1">
      <alignment horizontal="center" wrapText="1"/>
    </xf>
    <xf numFmtId="11" fontId="9" fillId="0" borderId="2" xfId="0" applyNumberFormat="1" applyFont="1" applyBorder="1"/>
    <xf numFmtId="0" fontId="1" fillId="0" borderId="42" xfId="0" applyFont="1" applyBorder="1" applyAlignment="1">
      <alignment horizontal="center" wrapText="1"/>
    </xf>
    <xf numFmtId="0" fontId="1" fillId="0" borderId="43" xfId="0" applyFont="1" applyFill="1" applyBorder="1" applyAlignment="1">
      <alignment horizontal="center" wrapText="1"/>
    </xf>
    <xf numFmtId="0" fontId="1" fillId="0" borderId="42" xfId="0" applyFont="1" applyBorder="1" applyAlignment="1">
      <alignment horizontal="left" wrapText="1"/>
    </xf>
    <xf numFmtId="11" fontId="0" fillId="0" borderId="7" xfId="0" applyNumberFormat="1" applyBorder="1" applyAlignment="1">
      <alignment horizontal="center" wrapText="1"/>
    </xf>
    <xf numFmtId="2" fontId="0" fillId="0" borderId="7" xfId="0" applyNumberFormat="1" applyFill="1" applyBorder="1" applyAlignment="1">
      <alignment horizontal="center" wrapText="1"/>
    </xf>
    <xf numFmtId="0" fontId="10" fillId="0" borderId="0" xfId="0" applyFont="1"/>
    <xf numFmtId="0" fontId="0" fillId="0" borderId="42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33" xfId="0" applyFill="1" applyBorder="1" applyAlignment="1">
      <alignment horizontal="center" wrapText="1"/>
    </xf>
    <xf numFmtId="11" fontId="0" fillId="0" borderId="7" xfId="0" applyNumberFormat="1" applyFill="1" applyBorder="1"/>
    <xf numFmtId="0" fontId="0" fillId="0" borderId="7" xfId="0" applyBorder="1" applyAlignment="1">
      <alignment wrapText="1"/>
    </xf>
    <xf numFmtId="0" fontId="0" fillId="0" borderId="7" xfId="0" applyFill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7" xfId="0" applyNumberForma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/>
    </xf>
    <xf numFmtId="0" fontId="1" fillId="0" borderId="7" xfId="0" applyFont="1" applyFill="1" applyBorder="1" applyAlignment="1">
      <alignment wrapText="1"/>
    </xf>
    <xf numFmtId="0" fontId="8" fillId="0" borderId="37" xfId="0" applyFont="1" applyBorder="1"/>
    <xf numFmtId="11" fontId="9" fillId="0" borderId="45" xfId="0" applyNumberFormat="1" applyFont="1" applyBorder="1"/>
    <xf numFmtId="11" fontId="9" fillId="0" borderId="38" xfId="0" applyNumberFormat="1" applyFont="1" applyBorder="1"/>
    <xf numFmtId="11" fontId="0" fillId="0" borderId="36" xfId="0" applyNumberFormat="1" applyFill="1" applyBorder="1"/>
    <xf numFmtId="11" fontId="0" fillId="0" borderId="0" xfId="0" applyNumberFormat="1" applyBorder="1"/>
    <xf numFmtId="0" fontId="2" fillId="0" borderId="8" xfId="1" applyBorder="1" applyAlignment="1" applyProtection="1">
      <alignment horizontal="right"/>
    </xf>
    <xf numFmtId="0" fontId="2" fillId="0" borderId="46" xfId="1" applyBorder="1" applyAlignment="1" applyProtection="1"/>
    <xf numFmtId="0" fontId="2" fillId="0" borderId="7" xfId="1" applyBorder="1" applyAlignment="1" applyProtection="1">
      <alignment horizontal="center"/>
    </xf>
    <xf numFmtId="0" fontId="2" fillId="0" borderId="7" xfId="1" applyBorder="1" applyAlignment="1" applyProtection="1"/>
    <xf numFmtId="0" fontId="2" fillId="0" borderId="33" xfId="1" applyBorder="1" applyAlignment="1" applyProtection="1"/>
    <xf numFmtId="0" fontId="0" fillId="0" borderId="8" xfId="0" applyBorder="1" applyAlignment="1">
      <alignment wrapText="1"/>
    </xf>
    <xf numFmtId="0" fontId="2" fillId="0" borderId="8" xfId="1" applyFill="1" applyBorder="1" applyAlignment="1" applyProtection="1"/>
    <xf numFmtId="0" fontId="2" fillId="0" borderId="7" xfId="1" applyBorder="1" applyAlignment="1" applyProtection="1">
      <alignment horizontal="center" wrapText="1"/>
    </xf>
    <xf numFmtId="0" fontId="9" fillId="0" borderId="45" xfId="0" applyNumberFormat="1" applyFont="1" applyBorder="1"/>
    <xf numFmtId="11" fontId="1" fillId="0" borderId="7" xfId="0" applyNumberFormat="1" applyFont="1" applyBorder="1" applyAlignment="1">
      <alignment horizontal="center" wrapText="1"/>
    </xf>
    <xf numFmtId="0" fontId="0" fillId="0" borderId="7" xfId="0" applyNumberFormat="1" applyFill="1" applyBorder="1" applyAlignment="1">
      <alignment horizontal="center" wrapText="1"/>
    </xf>
    <xf numFmtId="0" fontId="11" fillId="0" borderId="0" xfId="0" applyFont="1"/>
    <xf numFmtId="0" fontId="11" fillId="0" borderId="7" xfId="0" applyFont="1" applyBorder="1"/>
    <xf numFmtId="0" fontId="13" fillId="0" borderId="7" xfId="0" applyFont="1" applyBorder="1"/>
    <xf numFmtId="0" fontId="13" fillId="0" borderId="7" xfId="0" applyFont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0" fontId="13" fillId="0" borderId="7" xfId="0" applyFont="1" applyBorder="1" applyAlignment="1">
      <alignment wrapText="1"/>
    </xf>
    <xf numFmtId="0" fontId="13" fillId="0" borderId="7" xfId="0" applyFont="1" applyBorder="1" applyAlignment="1">
      <alignment horizontal="center" wrapText="1"/>
    </xf>
    <xf numFmtId="0" fontId="13" fillId="0" borderId="7" xfId="0" applyFont="1" applyFill="1" applyBorder="1" applyAlignment="1">
      <alignment wrapText="1"/>
    </xf>
    <xf numFmtId="0" fontId="14" fillId="0" borderId="7" xfId="0" applyFont="1" applyBorder="1"/>
    <xf numFmtId="0" fontId="14" fillId="0" borderId="7" xfId="0" applyFont="1" applyBorder="1" applyAlignment="1">
      <alignment wrapText="1"/>
    </xf>
    <xf numFmtId="0" fontId="0" fillId="0" borderId="7" xfId="0" applyNumberFormat="1" applyBorder="1"/>
    <xf numFmtId="0" fontId="0" fillId="0" borderId="25" xfId="0" applyNumberFormat="1" applyBorder="1"/>
    <xf numFmtId="0" fontId="2" fillId="0" borderId="7" xfId="1" applyFont="1" applyBorder="1" applyAlignment="1" applyProtection="1">
      <alignment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wrapText="1"/>
    </xf>
    <xf numFmtId="2" fontId="8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/>
    </xf>
    <xf numFmtId="11" fontId="8" fillId="0" borderId="38" xfId="0" applyNumberFormat="1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1" fillId="0" borderId="23" xfId="0" applyFont="1" applyBorder="1"/>
    <xf numFmtId="2" fontId="8" fillId="0" borderId="0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0" fontId="5" fillId="0" borderId="7" xfId="0" applyFont="1" applyBorder="1"/>
    <xf numFmtId="0" fontId="1" fillId="0" borderId="31" xfId="0" applyFont="1" applyFill="1" applyBorder="1" applyAlignment="1">
      <alignment horizontal="center" wrapText="1"/>
    </xf>
    <xf numFmtId="0" fontId="13" fillId="0" borderId="36" xfId="0" applyFont="1" applyFill="1" applyBorder="1" applyAlignment="1">
      <alignment wrapText="1"/>
    </xf>
    <xf numFmtId="0" fontId="13" fillId="0" borderId="7" xfId="0" applyFont="1" applyFill="1" applyBorder="1"/>
    <xf numFmtId="0" fontId="11" fillId="0" borderId="7" xfId="0" applyFont="1" applyFill="1" applyBorder="1"/>
    <xf numFmtId="0" fontId="1" fillId="0" borderId="7" xfId="0" quotePrefix="1" applyFont="1" applyBorder="1" applyAlignment="1">
      <alignment horizontal="center"/>
    </xf>
    <xf numFmtId="0" fontId="13" fillId="0" borderId="7" xfId="0" quotePrefix="1" applyFont="1" applyBorder="1" applyAlignment="1">
      <alignment horizontal="center"/>
    </xf>
    <xf numFmtId="11" fontId="0" fillId="0" borderId="0" xfId="0" applyNumberFormat="1"/>
    <xf numFmtId="11" fontId="0" fillId="0" borderId="7" xfId="0" quotePrefix="1" applyNumberFormat="1" applyBorder="1"/>
    <xf numFmtId="11" fontId="0" fillId="0" borderId="7" xfId="0" quotePrefix="1" applyNumberFormat="1" applyBorder="1" applyAlignment="1">
      <alignment horizontal="right"/>
    </xf>
    <xf numFmtId="0" fontId="0" fillId="0" borderId="10" xfId="0" applyFill="1" applyBorder="1"/>
    <xf numFmtId="11" fontId="0" fillId="0" borderId="10" xfId="0" quotePrefix="1" applyNumberFormat="1" applyBorder="1"/>
    <xf numFmtId="0" fontId="2" fillId="0" borderId="50" xfId="1" applyBorder="1" applyAlignment="1" applyProtection="1"/>
    <xf numFmtId="11" fontId="0" fillId="0" borderId="34" xfId="0" quotePrefix="1" applyNumberFormat="1" applyBorder="1"/>
    <xf numFmtId="0" fontId="2" fillId="0" borderId="33" xfId="1" applyFont="1" applyBorder="1" applyAlignment="1" applyProtection="1"/>
    <xf numFmtId="0" fontId="11" fillId="0" borderId="0" xfId="0" applyFont="1" applyBorder="1"/>
    <xf numFmtId="0" fontId="12" fillId="0" borderId="0" xfId="0" applyFont="1" applyBorder="1"/>
    <xf numFmtId="11" fontId="1" fillId="0" borderId="7" xfId="0" applyNumberFormat="1" applyFont="1" applyBorder="1" applyAlignment="1">
      <alignment horizontal="center"/>
    </xf>
    <xf numFmtId="11" fontId="1" fillId="0" borderId="36" xfId="0" applyNumberFormat="1" applyFont="1" applyFill="1" applyBorder="1" applyAlignment="1">
      <alignment horizontal="center"/>
    </xf>
    <xf numFmtId="11" fontId="1" fillId="0" borderId="36" xfId="0" applyNumberFormat="1" applyFont="1" applyBorder="1" applyAlignment="1">
      <alignment horizontal="center"/>
    </xf>
    <xf numFmtId="0" fontId="0" fillId="0" borderId="9" xfId="0" applyBorder="1" applyAlignment="1">
      <alignment horizontal="right"/>
    </xf>
    <xf numFmtId="165" fontId="0" fillId="0" borderId="0" xfId="0" applyNumberFormat="1"/>
    <xf numFmtId="0" fontId="5" fillId="0" borderId="24" xfId="0" applyFont="1" applyBorder="1" applyAlignment="1">
      <alignment horizontal="left" vertical="top"/>
    </xf>
    <xf numFmtId="0" fontId="0" fillId="0" borderId="3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quotePrefix="1" applyNumberFormat="1" applyBorder="1" applyAlignment="1">
      <alignment horizontal="center" vertical="center"/>
    </xf>
    <xf numFmtId="14" fontId="0" fillId="0" borderId="51" xfId="0" quotePrefix="1" applyNumberFormat="1" applyBorder="1" applyAlignment="1">
      <alignment horizontal="center" vertical="center"/>
    </xf>
    <xf numFmtId="14" fontId="0" fillId="0" borderId="51" xfId="0" applyNumberFormat="1" applyBorder="1" applyAlignment="1">
      <alignment horizontal="center" vertical="center"/>
    </xf>
    <xf numFmtId="171" fontId="0" fillId="0" borderId="27" xfId="0" applyNumberFormat="1" applyBorder="1" applyAlignment="1">
      <alignment horizontal="center" vertical="center"/>
    </xf>
    <xf numFmtId="171" fontId="0" fillId="0" borderId="51" xfId="0" applyNumberFormat="1" applyBorder="1" applyAlignment="1">
      <alignment horizontal="center" vertical="center"/>
    </xf>
    <xf numFmtId="172" fontId="0" fillId="0" borderId="27" xfId="0" applyNumberFormat="1" applyBorder="1" applyAlignment="1">
      <alignment horizontal="center" vertical="center"/>
    </xf>
    <xf numFmtId="172" fontId="0" fillId="0" borderId="51" xfId="0" applyNumberFormat="1" applyBorder="1" applyAlignment="1">
      <alignment horizontal="center" vertical="center"/>
    </xf>
    <xf numFmtId="0" fontId="0" fillId="0" borderId="9" xfId="0" applyFill="1" applyBorder="1"/>
    <xf numFmtId="0" fontId="1" fillId="0" borderId="7" xfId="0" applyFont="1" applyBorder="1" applyAlignment="1">
      <alignment horizontal="center" vertical="center"/>
    </xf>
    <xf numFmtId="0" fontId="5" fillId="0" borderId="7" xfId="0" applyNumberFormat="1" applyFont="1" applyBorder="1"/>
    <xf numFmtId="11" fontId="5" fillId="0" borderId="7" xfId="0" applyNumberFormat="1" applyFont="1" applyBorder="1"/>
    <xf numFmtId="0" fontId="2" fillId="0" borderId="8" xfId="1" applyBorder="1" applyAlignment="1" applyProtection="1">
      <alignment wrapText="1"/>
    </xf>
    <xf numFmtId="0" fontId="0" fillId="0" borderId="6" xfId="0" applyBorder="1" applyAlignment="1">
      <alignment horizontal="right" wrapText="1"/>
    </xf>
    <xf numFmtId="172" fontId="0" fillId="0" borderId="51" xfId="0" applyNumberFormat="1" applyBorder="1"/>
    <xf numFmtId="0" fontId="5" fillId="0" borderId="52" xfId="0" applyFont="1" applyBorder="1"/>
    <xf numFmtId="0" fontId="5" fillId="0" borderId="20" xfId="0" applyFont="1" applyBorder="1" applyAlignment="1">
      <alignment horizontal="center"/>
    </xf>
    <xf numFmtId="0" fontId="0" fillId="0" borderId="4" xfId="0" applyFill="1" applyBorder="1"/>
    <xf numFmtId="0" fontId="5" fillId="0" borderId="53" xfId="0" applyFont="1" applyBorder="1"/>
    <xf numFmtId="0" fontId="5" fillId="0" borderId="52" xfId="0" applyFont="1" applyFill="1" applyBorder="1"/>
    <xf numFmtId="0" fontId="0" fillId="0" borderId="54" xfId="0" applyBorder="1"/>
    <xf numFmtId="11" fontId="0" fillId="0" borderId="54" xfId="0" applyNumberFormat="1" applyBorder="1"/>
    <xf numFmtId="0" fontId="5" fillId="0" borderId="29" xfId="0" applyFont="1" applyBorder="1"/>
    <xf numFmtId="0" fontId="0" fillId="0" borderId="33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33" xfId="0" applyFill="1" applyBorder="1" applyAlignment="1">
      <alignment vertical="top" wrapText="1"/>
    </xf>
    <xf numFmtId="0" fontId="0" fillId="0" borderId="26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33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33" xfId="0" applyFill="1" applyBorder="1" applyAlignment="1">
      <alignment horizontal="left" wrapText="1"/>
    </xf>
    <xf numFmtId="0" fontId="0" fillId="0" borderId="26" xfId="0" applyFill="1" applyBorder="1" applyAlignment="1">
      <alignment horizontal="left" wrapText="1"/>
    </xf>
    <xf numFmtId="0" fontId="0" fillId="0" borderId="25" xfId="0" applyFill="1" applyBorder="1" applyAlignment="1">
      <alignment horizontal="left" wrapText="1"/>
    </xf>
    <xf numFmtId="0" fontId="0" fillId="0" borderId="33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5" fillId="0" borderId="50" xfId="0" applyFont="1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24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5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7" xfId="1" applyBorder="1" applyAlignment="1" applyProtection="1">
      <alignment horizontal="center"/>
    </xf>
    <xf numFmtId="0" fontId="2" fillId="0" borderId="7" xfId="1" applyFont="1" applyBorder="1" applyAlignment="1" applyProtection="1">
      <alignment horizontal="center"/>
    </xf>
    <xf numFmtId="0" fontId="2" fillId="0" borderId="33" xfId="1" applyFont="1" applyBorder="1" applyAlignment="1" applyProtection="1">
      <alignment horizontal="center"/>
    </xf>
    <xf numFmtId="0" fontId="2" fillId="0" borderId="26" xfId="1" applyFont="1" applyBorder="1" applyAlignment="1" applyProtection="1">
      <alignment horizontal="center"/>
    </xf>
    <xf numFmtId="0" fontId="2" fillId="0" borderId="25" xfId="1" applyFont="1" applyBorder="1" applyAlignment="1" applyProtection="1">
      <alignment horizontal="center"/>
    </xf>
    <xf numFmtId="0" fontId="2" fillId="0" borderId="33" xfId="1" applyFont="1" applyBorder="1" applyAlignment="1" applyProtection="1">
      <alignment horizontal="left"/>
    </xf>
    <xf numFmtId="0" fontId="2" fillId="0" borderId="26" xfId="1" applyBorder="1" applyAlignment="1" applyProtection="1">
      <alignment horizontal="left"/>
    </xf>
    <xf numFmtId="0" fontId="2" fillId="0" borderId="25" xfId="1" applyBorder="1" applyAlignment="1" applyProtection="1">
      <alignment horizontal="left"/>
    </xf>
    <xf numFmtId="0" fontId="12" fillId="0" borderId="0" xfId="0" applyFont="1" applyBorder="1" applyAlignment="1">
      <alignment horizontal="center"/>
    </xf>
    <xf numFmtId="0" fontId="1" fillId="0" borderId="33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2" fillId="0" borderId="7" xfId="1" applyBorder="1" applyAlignment="1" applyProtection="1">
      <alignment horizontal="left"/>
    </xf>
    <xf numFmtId="0" fontId="2" fillId="0" borderId="33" xfId="1" applyBorder="1" applyAlignment="1" applyProtection="1">
      <alignment horizontal="center"/>
    </xf>
    <xf numFmtId="0" fontId="2" fillId="0" borderId="25" xfId="1" applyBorder="1" applyAlignment="1" applyProtection="1">
      <alignment horizontal="center"/>
    </xf>
    <xf numFmtId="0" fontId="0" fillId="0" borderId="0" xfId="0" applyAlignment="1">
      <alignment wrapText="1"/>
    </xf>
    <xf numFmtId="0" fontId="11" fillId="0" borderId="7" xfId="0" applyFont="1" applyBorder="1" applyAlignment="1">
      <alignment horizontal="center"/>
    </xf>
    <xf numFmtId="0" fontId="2" fillId="0" borderId="33" xfId="1" applyBorder="1" applyAlignment="1" applyProtection="1">
      <alignment horizontal="left"/>
    </xf>
    <xf numFmtId="0" fontId="13" fillId="0" borderId="7" xfId="0" applyFont="1" applyBorder="1" applyAlignment="1">
      <alignment horizontal="center"/>
    </xf>
    <xf numFmtId="11" fontId="1" fillId="0" borderId="7" xfId="0" applyNumberFormat="1" applyFont="1" applyBorder="1" applyAlignment="1">
      <alignment horizontal="center" wrapText="1"/>
    </xf>
    <xf numFmtId="0" fontId="2" fillId="0" borderId="26" xfId="1" applyBorder="1" applyAlignment="1" applyProtection="1">
      <alignment horizontal="center"/>
    </xf>
    <xf numFmtId="0" fontId="2" fillId="0" borderId="7" xfId="1" applyBorder="1" applyAlignment="1" applyProtection="1">
      <alignment horizontal="center" wrapText="1"/>
    </xf>
    <xf numFmtId="0" fontId="2" fillId="0" borderId="33" xfId="1" applyFont="1" applyBorder="1" applyAlignment="1" applyProtection="1">
      <alignment horizontal="center" vertical="center"/>
    </xf>
    <xf numFmtId="0" fontId="2" fillId="0" borderId="26" xfId="1" applyBorder="1" applyAlignment="1" applyProtection="1">
      <alignment horizontal="center" vertical="center"/>
    </xf>
    <xf numFmtId="0" fontId="2" fillId="0" borderId="25" xfId="1" applyBorder="1" applyAlignment="1" applyProtection="1">
      <alignment horizontal="center" vertical="center"/>
    </xf>
    <xf numFmtId="0" fontId="2" fillId="0" borderId="0" xfId="1" applyAlignment="1" applyProtection="1">
      <alignment horizontal="center"/>
    </xf>
    <xf numFmtId="0" fontId="2" fillId="0" borderId="57" xfId="1" applyBorder="1" applyAlignment="1" applyProtection="1">
      <alignment horizontal="center"/>
    </xf>
    <xf numFmtId="0" fontId="2" fillId="0" borderId="57" xfId="1" applyFont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Fused Silica OSR alpha increase in GEO orbit</a:t>
            </a:r>
          </a:p>
        </c:rich>
      </c:tx>
      <c:layout>
        <c:manualLayout>
          <c:xMode val="edge"/>
          <c:yMode val="edge"/>
          <c:x val="0.19930694105177926"/>
          <c:y val="3.1325301204819279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171588269392695"/>
          <c:y val="0.17108453864427081"/>
          <c:w val="0.83535599287464191"/>
          <c:h val="0.66265138207287988"/>
        </c:manualLayout>
      </c:layout>
      <c:scatterChart>
        <c:scatterStyle val="smoothMarker"/>
        <c:ser>
          <c:idx val="0"/>
          <c:order val="0"/>
          <c:tx>
            <c:strRef>
              <c:f>'OSR degradation'!$C$3</c:f>
              <c:strCache>
                <c:ptCount val="1"/>
                <c:pt idx="0">
                  <c:v>alpha increase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'OSR degradation'!$B$4:$B$12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'OSR degradation'!$C$4:$C$12</c:f>
              <c:numCache>
                <c:formatCode>General</c:formatCode>
                <c:ptCount val="9"/>
                <c:pt idx="0">
                  <c:v>0</c:v>
                </c:pt>
                <c:pt idx="1">
                  <c:v>4.3999999999999997E-2</c:v>
                </c:pt>
                <c:pt idx="2">
                  <c:v>7.4999999999999997E-2</c:v>
                </c:pt>
                <c:pt idx="3">
                  <c:v>9.6000000000000002E-2</c:v>
                </c:pt>
                <c:pt idx="4">
                  <c:v>0.113</c:v>
                </c:pt>
                <c:pt idx="5">
                  <c:v>0.127</c:v>
                </c:pt>
                <c:pt idx="6">
                  <c:v>0.14299999999999999</c:v>
                </c:pt>
                <c:pt idx="7">
                  <c:v>0.159</c:v>
                </c:pt>
                <c:pt idx="8">
                  <c:v>0.17299999999999999</c:v>
                </c:pt>
              </c:numCache>
            </c:numRef>
          </c:yVal>
          <c:smooth val="1"/>
        </c:ser>
        <c:axId val="70348800"/>
        <c:axId val="70350720"/>
      </c:scatterChart>
      <c:valAx>
        <c:axId val="70348800"/>
        <c:scaling>
          <c:orientation val="minMax"/>
        </c:scaling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Time in Orbit (years)</a:t>
                </a:r>
              </a:p>
            </c:rich>
          </c:tx>
          <c:layout>
            <c:manualLayout>
              <c:xMode val="edge"/>
              <c:yMode val="edge"/>
              <c:x val="0.43500902941725006"/>
              <c:y val="0.9084347468614615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50720"/>
        <c:crosses val="autoZero"/>
        <c:crossBetween val="midCat"/>
      </c:valAx>
      <c:valAx>
        <c:axId val="703507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Alpha Increase</a:t>
                </a:r>
              </a:p>
            </c:rich>
          </c:tx>
          <c:layout>
            <c:manualLayout>
              <c:xMode val="edge"/>
              <c:yMode val="edge"/>
              <c:x val="2.7729636048526862E-2"/>
              <c:y val="0.3831330360813332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4880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Metalized Teflon OSR Increase</a:t>
            </a:r>
          </a:p>
        </c:rich>
      </c:tx>
      <c:layout>
        <c:manualLayout>
          <c:xMode val="edge"/>
          <c:yMode val="edge"/>
          <c:x val="0.29462756496859038"/>
          <c:y val="3.110047846889952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171588269392695"/>
          <c:y val="0.16985665774598366"/>
          <c:w val="0.70710631762002885"/>
          <c:h val="0.66507254723075293"/>
        </c:manualLayout>
      </c:layout>
      <c:scatterChart>
        <c:scatterStyle val="smoothMarker"/>
        <c:ser>
          <c:idx val="0"/>
          <c:order val="0"/>
          <c:tx>
            <c:v>LEO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'OSR degradation'!$E$4:$E$13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'OSR degradation'!$F$4:$F$13</c:f>
              <c:numCache>
                <c:formatCode>General</c:formatCode>
                <c:ptCount val="10"/>
                <c:pt idx="0">
                  <c:v>0</c:v>
                </c:pt>
                <c:pt idx="1">
                  <c:v>2.1999999999999999E-2</c:v>
                </c:pt>
                <c:pt idx="2">
                  <c:v>4.1000000000000002E-2</c:v>
                </c:pt>
                <c:pt idx="3">
                  <c:v>6.3E-2</c:v>
                </c:pt>
                <c:pt idx="4">
                  <c:v>7.8E-2</c:v>
                </c:pt>
                <c:pt idx="5">
                  <c:v>9.2999999999999999E-2</c:v>
                </c:pt>
                <c:pt idx="6">
                  <c:v>0.106</c:v>
                </c:pt>
                <c:pt idx="7">
                  <c:v>0.11700000000000001</c:v>
                </c:pt>
                <c:pt idx="8">
                  <c:v>0.123</c:v>
                </c:pt>
                <c:pt idx="9">
                  <c:v>0.126</c:v>
                </c:pt>
              </c:numCache>
            </c:numRef>
          </c:yVal>
          <c:smooth val="1"/>
        </c:ser>
        <c:ser>
          <c:idx val="1"/>
          <c:order val="1"/>
          <c:tx>
            <c:v>GEO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'OSR degradation'!$E$4:$E$13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'OSR degradation'!$G$4:$G$13</c:f>
              <c:numCache>
                <c:formatCode>General</c:formatCode>
                <c:ptCount val="10"/>
                <c:pt idx="0">
                  <c:v>0</c:v>
                </c:pt>
                <c:pt idx="1">
                  <c:v>5.8999999999999997E-2</c:v>
                </c:pt>
                <c:pt idx="2">
                  <c:v>0.1</c:v>
                </c:pt>
                <c:pt idx="3">
                  <c:v>0.13</c:v>
                </c:pt>
                <c:pt idx="4">
                  <c:v>0.15</c:v>
                </c:pt>
                <c:pt idx="5">
                  <c:v>0.16700000000000001</c:v>
                </c:pt>
                <c:pt idx="6">
                  <c:v>0.182</c:v>
                </c:pt>
                <c:pt idx="7">
                  <c:v>0.193</c:v>
                </c:pt>
                <c:pt idx="8">
                  <c:v>0.20399999999999999</c:v>
                </c:pt>
                <c:pt idx="9">
                  <c:v>0.217</c:v>
                </c:pt>
              </c:numCache>
            </c:numRef>
          </c:yVal>
          <c:smooth val="1"/>
        </c:ser>
        <c:axId val="70454656"/>
        <c:axId val="70460928"/>
      </c:scatterChart>
      <c:valAx>
        <c:axId val="70454656"/>
        <c:scaling>
          <c:orientation val="minMax"/>
        </c:scaling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Time in Orbit (years)</a:t>
                </a:r>
              </a:p>
            </c:rich>
          </c:tx>
          <c:layout>
            <c:manualLayout>
              <c:xMode val="edge"/>
              <c:yMode val="edge"/>
              <c:x val="0.37088424605503167"/>
              <c:y val="0.9090919137500156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460928"/>
        <c:crosses val="autoZero"/>
        <c:crossBetween val="midCat"/>
      </c:valAx>
      <c:valAx>
        <c:axId val="7046092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Alpha Increase</a:t>
                </a:r>
              </a:p>
            </c:rich>
          </c:tx>
          <c:layout>
            <c:manualLayout>
              <c:xMode val="edge"/>
              <c:yMode val="edge"/>
              <c:x val="2.7729636048526862E-2"/>
              <c:y val="0.3851679664443858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45465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7348426334056595"/>
          <c:y val="0.45215361237740015"/>
          <c:w val="0.98613609174069872"/>
          <c:h val="0.5550244257745293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Thermal Conductivity of Many Materials</a:t>
            </a:r>
          </a:p>
        </c:rich>
      </c:tx>
      <c:layout>
        <c:manualLayout>
          <c:xMode val="edge"/>
          <c:yMode val="edge"/>
          <c:x val="0.30451626449919567"/>
          <c:y val="3.0120481927710843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4322589668970306"/>
          <c:y val="0.15060270496577122"/>
          <c:w val="0.56258099961000474"/>
          <c:h val="0.71084476743844016"/>
        </c:manualLayout>
      </c:layout>
      <c:scatterChart>
        <c:scatterStyle val="smoothMarker"/>
        <c:ser>
          <c:idx val="0"/>
          <c:order val="0"/>
          <c:tx>
            <c:v>6061-T6 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Conductance!$E$4:$E$19</c:f>
              <c:numCache>
                <c:formatCode>0.0</c:formatCode>
                <c:ptCount val="16"/>
                <c:pt idx="0">
                  <c:v>1.4742705473883575</c:v>
                </c:pt>
                <c:pt idx="1">
                  <c:v>2.0352540120935694</c:v>
                </c:pt>
                <c:pt idx="2">
                  <c:v>2.8882940091828084</c:v>
                </c:pt>
                <c:pt idx="3">
                  <c:v>4.0983446534079597</c:v>
                </c:pt>
                <c:pt idx="4">
                  <c:v>5.8153459601814772</c:v>
                </c:pt>
                <c:pt idx="5">
                  <c:v>8.2495684807410488</c:v>
                </c:pt>
                <c:pt idx="6">
                  <c:v>11.710229721700021</c:v>
                </c:pt>
                <c:pt idx="7">
                  <c:v>16.626889112481329</c:v>
                </c:pt>
                <c:pt idx="8">
                  <c:v>23.610886171319105</c:v>
                </c:pt>
                <c:pt idx="9">
                  <c:v>33.549965789446176</c:v>
                </c:pt>
                <c:pt idx="10">
                  <c:v>47.691280153416585</c:v>
                </c:pt>
                <c:pt idx="11">
                  <c:v>67.81055227981814</c:v>
                </c:pt>
                <c:pt idx="12">
                  <c:v>96.491663003432905</c:v>
                </c:pt>
                <c:pt idx="13">
                  <c:v>137.40942107713818</c:v>
                </c:pt>
                <c:pt idx="14">
                  <c:v>195.85431235865414</c:v>
                </c:pt>
                <c:pt idx="15">
                  <c:v>289.53678757143774</c:v>
                </c:pt>
              </c:numCache>
            </c:numRef>
          </c:xVal>
          <c:yVal>
            <c:numRef>
              <c:f>Conductance!$F$4:$F$19</c:f>
              <c:numCache>
                <c:formatCode>0.000</c:formatCode>
                <c:ptCount val="16"/>
                <c:pt idx="0">
                  <c:v>3.9750748538231964</c:v>
                </c:pt>
                <c:pt idx="1">
                  <c:v>5.3064683412757336</c:v>
                </c:pt>
                <c:pt idx="2">
                  <c:v>7.4472726680443895</c:v>
                </c:pt>
                <c:pt idx="3">
                  <c:v>10.525961949341941</c:v>
                </c:pt>
                <c:pt idx="4">
                  <c:v>14.877375906271032</c:v>
                </c:pt>
                <c:pt idx="5">
                  <c:v>21.32733563663011</c:v>
                </c:pt>
                <c:pt idx="6">
                  <c:v>29.510906807335697</c:v>
                </c:pt>
                <c:pt idx="7">
                  <c:v>40.260835124067015</c:v>
                </c:pt>
                <c:pt idx="8">
                  <c:v>54.539372941923816</c:v>
                </c:pt>
                <c:pt idx="9">
                  <c:v>71.313735420557961</c:v>
                </c:pt>
                <c:pt idx="10">
                  <c:v>91.288829944679861</c:v>
                </c:pt>
                <c:pt idx="11">
                  <c:v>115.2169486880836</c:v>
                </c:pt>
                <c:pt idx="12">
                  <c:v>139.37276591183044</c:v>
                </c:pt>
                <c:pt idx="13">
                  <c:v>161.58546366041514</c:v>
                </c:pt>
                <c:pt idx="14">
                  <c:v>178.28574326926429</c:v>
                </c:pt>
                <c:pt idx="15">
                  <c:v>187.3258064296287</c:v>
                </c:pt>
              </c:numCache>
            </c:numRef>
          </c:yVal>
          <c:smooth val="1"/>
        </c:ser>
        <c:ser>
          <c:idx val="1"/>
          <c:order val="1"/>
          <c:tx>
            <c:v>99.999% 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Conductance!$K$4:$K$12</c:f>
              <c:numCache>
                <c:formatCode>0.0</c:formatCode>
                <c:ptCount val="9"/>
                <c:pt idx="0">
                  <c:v>10</c:v>
                </c:pt>
                <c:pt idx="1">
                  <c:v>14.1</c:v>
                </c:pt>
                <c:pt idx="2">
                  <c:v>20</c:v>
                </c:pt>
                <c:pt idx="3">
                  <c:v>32</c:v>
                </c:pt>
                <c:pt idx="4">
                  <c:v>35</c:v>
                </c:pt>
                <c:pt idx="5">
                  <c:v>39</c:v>
                </c:pt>
                <c:pt idx="6">
                  <c:v>50</c:v>
                </c:pt>
                <c:pt idx="7">
                  <c:v>60</c:v>
                </c:pt>
                <c:pt idx="8">
                  <c:v>300</c:v>
                </c:pt>
              </c:numCache>
            </c:numRef>
          </c:xVal>
          <c:yVal>
            <c:numRef>
              <c:f>Conductance!$L$4:$L$12</c:f>
              <c:numCache>
                <c:formatCode>0.000</c:formatCode>
                <c:ptCount val="9"/>
                <c:pt idx="0">
                  <c:v>4190</c:v>
                </c:pt>
                <c:pt idx="1">
                  <c:v>4590</c:v>
                </c:pt>
                <c:pt idx="2">
                  <c:v>4000</c:v>
                </c:pt>
                <c:pt idx="3">
                  <c:v>1400</c:v>
                </c:pt>
                <c:pt idx="4">
                  <c:v>1300</c:v>
                </c:pt>
                <c:pt idx="5">
                  <c:v>1100</c:v>
                </c:pt>
                <c:pt idx="6">
                  <c:v>710</c:v>
                </c:pt>
                <c:pt idx="7">
                  <c:v>500</c:v>
                </c:pt>
                <c:pt idx="8">
                  <c:v>235</c:v>
                </c:pt>
              </c:numCache>
            </c:numRef>
          </c:yVal>
          <c:smooth val="1"/>
        </c:ser>
        <c:ser>
          <c:idx val="2"/>
          <c:order val="2"/>
          <c:tx>
            <c:v>APG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Conductance!$B$24:$B$41</c:f>
              <c:numCache>
                <c:formatCode>0.0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25.531914893617028</c:v>
                </c:pt>
                <c:pt idx="5">
                  <c:v>49.645390070921991</c:v>
                </c:pt>
                <c:pt idx="6">
                  <c:v>75.177304964539005</c:v>
                </c:pt>
                <c:pt idx="7">
                  <c:v>100.70921985815603</c:v>
                </c:pt>
                <c:pt idx="8">
                  <c:v>123.40425531914893</c:v>
                </c:pt>
                <c:pt idx="9">
                  <c:v>130.49645390070924</c:v>
                </c:pt>
                <c:pt idx="10">
                  <c:v>147.51773049645391</c:v>
                </c:pt>
                <c:pt idx="11">
                  <c:v>173.04964539007091</c:v>
                </c:pt>
                <c:pt idx="12">
                  <c:v>222.69503546099293</c:v>
                </c:pt>
                <c:pt idx="13">
                  <c:v>248.22695035460993</c:v>
                </c:pt>
                <c:pt idx="14">
                  <c:v>273.75886524822698</c:v>
                </c:pt>
                <c:pt idx="15">
                  <c:v>321.98581560283691</c:v>
                </c:pt>
                <c:pt idx="16">
                  <c:v>347.51773049645391</c:v>
                </c:pt>
                <c:pt idx="17">
                  <c:v>373.04964539007096</c:v>
                </c:pt>
              </c:numCache>
            </c:numRef>
          </c:xVal>
          <c:yVal>
            <c:numRef>
              <c:f>Conductance!$C$24:$C$41</c:f>
              <c:numCache>
                <c:formatCode>0.000</c:formatCode>
                <c:ptCount val="18"/>
                <c:pt idx="0">
                  <c:v>107.15408805031443</c:v>
                </c:pt>
                <c:pt idx="1">
                  <c:v>214.30817610062894</c:v>
                </c:pt>
                <c:pt idx="2">
                  <c:v>321.46226415094338</c:v>
                </c:pt>
                <c:pt idx="3">
                  <c:v>428.61635220125788</c:v>
                </c:pt>
                <c:pt idx="4">
                  <c:v>547.16981132075489</c:v>
                </c:pt>
                <c:pt idx="5">
                  <c:v>1075.4716981132078</c:v>
                </c:pt>
                <c:pt idx="6">
                  <c:v>1641.5094339622644</c:v>
                </c:pt>
                <c:pt idx="7">
                  <c:v>2226.415094339623</c:v>
                </c:pt>
                <c:pt idx="8">
                  <c:v>2641.5094339622647</c:v>
                </c:pt>
                <c:pt idx="9">
                  <c:v>2716.981132075472</c:v>
                </c:pt>
                <c:pt idx="10">
                  <c:v>2849.0566037735853</c:v>
                </c:pt>
                <c:pt idx="11">
                  <c:v>2735.849056603774</c:v>
                </c:pt>
                <c:pt idx="12">
                  <c:v>2264.1509433962265</c:v>
                </c:pt>
                <c:pt idx="13">
                  <c:v>2056.6037735849059</c:v>
                </c:pt>
                <c:pt idx="14">
                  <c:v>1849.0566037735853</c:v>
                </c:pt>
                <c:pt idx="15">
                  <c:v>1566.0377358490568</c:v>
                </c:pt>
                <c:pt idx="16">
                  <c:v>1471.6981132075475</c:v>
                </c:pt>
                <c:pt idx="17">
                  <c:v>1452.8301886792456</c:v>
                </c:pt>
              </c:numCache>
            </c:numRef>
          </c:yVal>
          <c:smooth val="1"/>
        </c:ser>
        <c:ser>
          <c:idx val="3"/>
          <c:order val="3"/>
          <c:tx>
            <c:v>K1100</c:v>
          </c:tx>
          <c:spPr>
            <a:ln w="381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Conductance!$H$24:$H$39</c:f>
              <c:numCache>
                <c:formatCode>0.0</c:formatCode>
                <c:ptCount val="16"/>
                <c:pt idx="0">
                  <c:v>5</c:v>
                </c:pt>
                <c:pt idx="1">
                  <c:v>10</c:v>
                </c:pt>
                <c:pt idx="2">
                  <c:v>14.61038961038961</c:v>
                </c:pt>
                <c:pt idx="3">
                  <c:v>23.051948051948052</c:v>
                </c:pt>
                <c:pt idx="4">
                  <c:v>35.38961038961039</c:v>
                </c:pt>
                <c:pt idx="5">
                  <c:v>60.38961038961039</c:v>
                </c:pt>
                <c:pt idx="6">
                  <c:v>90.259740259740255</c:v>
                </c:pt>
                <c:pt idx="7">
                  <c:v>120.12987012987011</c:v>
                </c:pt>
                <c:pt idx="8">
                  <c:v>140.25974025974025</c:v>
                </c:pt>
                <c:pt idx="9">
                  <c:v>170.12987012987011</c:v>
                </c:pt>
                <c:pt idx="10">
                  <c:v>200</c:v>
                </c:pt>
                <c:pt idx="11">
                  <c:v>230.19480519480521</c:v>
                </c:pt>
                <c:pt idx="12">
                  <c:v>240.25974025974023</c:v>
                </c:pt>
                <c:pt idx="13">
                  <c:v>260.06493506493507</c:v>
                </c:pt>
                <c:pt idx="14">
                  <c:v>280.19480519480521</c:v>
                </c:pt>
                <c:pt idx="15">
                  <c:v>300.3246753246753</c:v>
                </c:pt>
              </c:numCache>
            </c:numRef>
          </c:xVal>
          <c:yVal>
            <c:numRef>
              <c:f>Conductance!$I$24:$I$39</c:f>
              <c:numCache>
                <c:formatCode>0.000</c:formatCode>
                <c:ptCount val="16"/>
                <c:pt idx="0">
                  <c:v>0.74612403100775748</c:v>
                </c:pt>
                <c:pt idx="1">
                  <c:v>1.4922480620155147</c:v>
                </c:pt>
                <c:pt idx="2">
                  <c:v>2.1802325581395507</c:v>
                </c:pt>
                <c:pt idx="3">
                  <c:v>19.622093023255729</c:v>
                </c:pt>
                <c:pt idx="4">
                  <c:v>69.767441860465169</c:v>
                </c:pt>
                <c:pt idx="5">
                  <c:v>233.28488372093011</c:v>
                </c:pt>
                <c:pt idx="6">
                  <c:v>449.12790697674404</c:v>
                </c:pt>
                <c:pt idx="7">
                  <c:v>656.25</c:v>
                </c:pt>
                <c:pt idx="8">
                  <c:v>821.94767441860461</c:v>
                </c:pt>
                <c:pt idx="9">
                  <c:v>924.4186046511627</c:v>
                </c:pt>
                <c:pt idx="10">
                  <c:v>987.64534883720921</c:v>
                </c:pt>
                <c:pt idx="11">
                  <c:v>1013.8081395348836</c:v>
                </c:pt>
                <c:pt idx="12">
                  <c:v>1018.1686046511627</c:v>
                </c:pt>
                <c:pt idx="13">
                  <c:v>1009.4476744186046</c:v>
                </c:pt>
                <c:pt idx="14">
                  <c:v>983.28488372093011</c:v>
                </c:pt>
                <c:pt idx="15">
                  <c:v>933.1395348837209</c:v>
                </c:pt>
              </c:numCache>
            </c:numRef>
          </c:yVal>
          <c:smooth val="1"/>
        </c:ser>
        <c:ser>
          <c:idx val="4"/>
          <c:order val="4"/>
          <c:tx>
            <c:v>SiC (Rohm-Haas)</c:v>
          </c:tx>
          <c:spPr>
            <a:ln w="381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Conductance!$H$45:$H$48</c:f>
              <c:numCache>
                <c:formatCode>General</c:formatCode>
                <c:ptCount val="4"/>
                <c:pt idx="0">
                  <c:v>133.14999999999998</c:v>
                </c:pt>
                <c:pt idx="1">
                  <c:v>173.14999999999998</c:v>
                </c:pt>
                <c:pt idx="2">
                  <c:v>273.14999999999998</c:v>
                </c:pt>
                <c:pt idx="3">
                  <c:v>473.15</c:v>
                </c:pt>
              </c:numCache>
            </c:numRef>
          </c:xVal>
          <c:yVal>
            <c:numRef>
              <c:f>Conductance!$I$45:$I$48</c:f>
              <c:numCache>
                <c:formatCode>General</c:formatCode>
                <c:ptCount val="4"/>
                <c:pt idx="0">
                  <c:v>396</c:v>
                </c:pt>
                <c:pt idx="1">
                  <c:v>485</c:v>
                </c:pt>
                <c:pt idx="2">
                  <c:v>333</c:v>
                </c:pt>
                <c:pt idx="3">
                  <c:v>221</c:v>
                </c:pt>
              </c:numCache>
            </c:numRef>
          </c:yVal>
          <c:smooth val="1"/>
        </c:ser>
        <c:ser>
          <c:idx val="5"/>
          <c:order val="5"/>
          <c:tx>
            <c:v>OFHC Copper</c:v>
          </c:tx>
          <c:spPr>
            <a:ln w="381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Conductance!$B$45:$B$62</c:f>
              <c:numCache>
                <c:formatCode>0.0</c:formatCode>
                <c:ptCount val="18"/>
                <c:pt idx="0">
                  <c:v>4.220779220779221</c:v>
                </c:pt>
                <c:pt idx="1">
                  <c:v>6.1688311688311686</c:v>
                </c:pt>
                <c:pt idx="2">
                  <c:v>8.1168831168831161</c:v>
                </c:pt>
                <c:pt idx="3">
                  <c:v>10</c:v>
                </c:pt>
                <c:pt idx="4">
                  <c:v>20</c:v>
                </c:pt>
                <c:pt idx="5">
                  <c:v>39.935064935064936</c:v>
                </c:pt>
                <c:pt idx="6">
                  <c:v>45.129870129870135</c:v>
                </c:pt>
                <c:pt idx="7">
                  <c:v>50.324675324675333</c:v>
                </c:pt>
                <c:pt idx="8">
                  <c:v>55.194805194805191</c:v>
                </c:pt>
                <c:pt idx="9">
                  <c:v>60.38961038961039</c:v>
                </c:pt>
                <c:pt idx="10">
                  <c:v>64.935064935064929</c:v>
                </c:pt>
                <c:pt idx="11">
                  <c:v>75</c:v>
                </c:pt>
                <c:pt idx="12">
                  <c:v>90.259740259740255</c:v>
                </c:pt>
                <c:pt idx="13">
                  <c:v>100.32467532467533</c:v>
                </c:pt>
                <c:pt idx="14">
                  <c:v>125</c:v>
                </c:pt>
                <c:pt idx="15">
                  <c:v>150.32467532467533</c:v>
                </c:pt>
                <c:pt idx="16">
                  <c:v>200</c:v>
                </c:pt>
                <c:pt idx="17">
                  <c:v>300</c:v>
                </c:pt>
              </c:numCache>
            </c:numRef>
          </c:xVal>
          <c:yVal>
            <c:numRef>
              <c:f>Conductance!$C$45:$C$62</c:f>
              <c:numCache>
                <c:formatCode>0.000</c:formatCode>
                <c:ptCount val="18"/>
                <c:pt idx="0">
                  <c:v>730.37790697674416</c:v>
                </c:pt>
                <c:pt idx="1">
                  <c:v>933.1395348837209</c:v>
                </c:pt>
                <c:pt idx="2">
                  <c:v>1240.5523255813953</c:v>
                </c:pt>
                <c:pt idx="3">
                  <c:v>1810</c:v>
                </c:pt>
                <c:pt idx="4">
                  <c:v>2440</c:v>
                </c:pt>
                <c:pt idx="5">
                  <c:v>1486.9186046511627</c:v>
                </c:pt>
                <c:pt idx="6">
                  <c:v>1214.3895348837209</c:v>
                </c:pt>
                <c:pt idx="7">
                  <c:v>1005.0872093023255</c:v>
                </c:pt>
                <c:pt idx="8">
                  <c:v>852.47093023255809</c:v>
                </c:pt>
                <c:pt idx="9">
                  <c:v>741.2790697674418</c:v>
                </c:pt>
                <c:pt idx="10">
                  <c:v>662.79069767441854</c:v>
                </c:pt>
                <c:pt idx="11">
                  <c:v>560.31976744186045</c:v>
                </c:pt>
                <c:pt idx="12">
                  <c:v>488.37209302325573</c:v>
                </c:pt>
                <c:pt idx="13">
                  <c:v>462.20930232558135</c:v>
                </c:pt>
                <c:pt idx="14">
                  <c:v>431.68604651162792</c:v>
                </c:pt>
                <c:pt idx="15">
                  <c:v>418.60465116279056</c:v>
                </c:pt>
                <c:pt idx="16">
                  <c:v>409.88372093023264</c:v>
                </c:pt>
                <c:pt idx="17">
                  <c:v>398.98255813953483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Conductance!$L$22</c:f>
              <c:strCache>
                <c:ptCount val="1"/>
                <c:pt idx="0">
                  <c:v>Invar 36</c:v>
                </c:pt>
              </c:strCache>
            </c:strRef>
          </c:tx>
          <c:spPr>
            <a:ln w="381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Conductance!$K$23:$K$33</c:f>
              <c:numCache>
                <c:formatCode>General</c:formatCode>
                <c:ptCount val="1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</c:numCache>
            </c:numRef>
          </c:xVal>
          <c:yVal>
            <c:numRef>
              <c:f>Conductance!$L$23:$L$33</c:f>
              <c:numCache>
                <c:formatCode>General</c:formatCode>
                <c:ptCount val="11"/>
                <c:pt idx="0">
                  <c:v>0.32108196756788498</c:v>
                </c:pt>
                <c:pt idx="1">
                  <c:v>0.73385118524743098</c:v>
                </c:pt>
                <c:pt idx="2">
                  <c:v>1.1858305347970699</c:v>
                </c:pt>
                <c:pt idx="3">
                  <c:v>1.6520688127560199</c:v>
                </c:pt>
                <c:pt idx="4">
                  <c:v>4.2473478327459899</c:v>
                </c:pt>
                <c:pt idx="5">
                  <c:v>6.0560866721641098</c:v>
                </c:pt>
                <c:pt idx="6">
                  <c:v>7.6113904324372603</c:v>
                </c:pt>
                <c:pt idx="7">
                  <c:v>10.1113447632177</c:v>
                </c:pt>
                <c:pt idx="8">
                  <c:v>11.9150864792504</c:v>
                </c:pt>
                <c:pt idx="9">
                  <c:v>13.1236558949587</c:v>
                </c:pt>
                <c:pt idx="10">
                  <c:v>13.8348859875939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Conductance!$M$22</c:f>
              <c:strCache>
                <c:ptCount val="1"/>
                <c:pt idx="0">
                  <c:v>Moly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Conductance!$K$23:$K$33</c:f>
              <c:numCache>
                <c:formatCode>General</c:formatCode>
                <c:ptCount val="1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</c:numCache>
            </c:numRef>
          </c:xVal>
          <c:yVal>
            <c:numRef>
              <c:f>Conductance!$M$23:$M$33</c:f>
              <c:numCache>
                <c:formatCode>General</c:formatCode>
                <c:ptCount val="11"/>
                <c:pt idx="0">
                  <c:v>74.1868780070496</c:v>
                </c:pt>
                <c:pt idx="1">
                  <c:v>146.268227978493</c:v>
                </c:pt>
                <c:pt idx="2">
                  <c:v>220.146050117638</c:v>
                </c:pt>
                <c:pt idx="3">
                  <c:v>286.93431430348198</c:v>
                </c:pt>
                <c:pt idx="4">
                  <c:v>307.25201617104102</c:v>
                </c:pt>
                <c:pt idx="5">
                  <c:v>219.907534355026</c:v>
                </c:pt>
                <c:pt idx="6">
                  <c:v>174.50585381962799</c:v>
                </c:pt>
                <c:pt idx="7">
                  <c:v>145.36145483522401</c:v>
                </c:pt>
                <c:pt idx="8">
                  <c:v>141.41161282398701</c:v>
                </c:pt>
                <c:pt idx="9">
                  <c:v>140.69847130971399</c:v>
                </c:pt>
                <c:pt idx="10">
                  <c:v>138.57078899639399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Conductance!$N$22</c:f>
              <c:strCache>
                <c:ptCount val="1"/>
                <c:pt idx="0">
                  <c:v>Ti-6Al-4V</c:v>
                </c:pt>
              </c:strCache>
            </c:strRef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Conductance!$K$26:$K$33</c:f>
              <c:numCache>
                <c:formatCode>General</c:formatCode>
                <c:ptCount val="8"/>
                <c:pt idx="0">
                  <c:v>20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</c:numCache>
            </c:numRef>
          </c:xVal>
          <c:yVal>
            <c:numRef>
              <c:f>Conductance!$N$26:$N$33</c:f>
              <c:numCache>
                <c:formatCode>General</c:formatCode>
                <c:ptCount val="8"/>
                <c:pt idx="0">
                  <c:v>0.84259974075132005</c:v>
                </c:pt>
                <c:pt idx="1">
                  <c:v>2.4106749271549699</c:v>
                </c:pt>
                <c:pt idx="2">
                  <c:v>3.4252667112809898</c:v>
                </c:pt>
                <c:pt idx="3">
                  <c:v>3.8044860850041302</c:v>
                </c:pt>
                <c:pt idx="4">
                  <c:v>4.6215183667046196</c:v>
                </c:pt>
                <c:pt idx="5">
                  <c:v>5.7498459502821904</c:v>
                </c:pt>
                <c:pt idx="6">
                  <c:v>6.5931498582640202</c:v>
                </c:pt>
                <c:pt idx="7">
                  <c:v>7.5545723786900503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Conductance!$O$22</c:f>
              <c:strCache>
                <c:ptCount val="1"/>
                <c:pt idx="0">
                  <c:v>304-SS</c:v>
                </c:pt>
              </c:strCache>
            </c:strRef>
          </c:tx>
          <c:spPr>
            <a:ln w="38100">
              <a:solidFill>
                <a:srgbClr val="CCFFFF"/>
              </a:solidFill>
              <a:prstDash val="solid"/>
            </a:ln>
          </c:spPr>
          <c:marker>
            <c:symbol val="none"/>
          </c:marker>
          <c:xVal>
            <c:numRef>
              <c:f>Conductance!$K$23:$K$33</c:f>
              <c:numCache>
                <c:formatCode>General</c:formatCode>
                <c:ptCount val="1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</c:numCache>
            </c:numRef>
          </c:xVal>
          <c:yVal>
            <c:numRef>
              <c:f>Conductance!$O$23:$O$33</c:f>
              <c:numCache>
                <c:formatCode>General</c:formatCode>
                <c:ptCount val="11"/>
                <c:pt idx="0">
                  <c:v>0.36625322897088702</c:v>
                </c:pt>
                <c:pt idx="1">
                  <c:v>0.90385757066017602</c:v>
                </c:pt>
                <c:pt idx="2">
                  <c:v>1.5181954929155601</c:v>
                </c:pt>
                <c:pt idx="3">
                  <c:v>2.1686224062946402</c:v>
                </c:pt>
                <c:pt idx="4">
                  <c:v>5.7301669362782004</c:v>
                </c:pt>
                <c:pt idx="5">
                  <c:v>7.7868446252568502</c:v>
                </c:pt>
                <c:pt idx="6">
                  <c:v>9.2235902168824708</c:v>
                </c:pt>
                <c:pt idx="7">
                  <c:v>11.1651543585882</c:v>
                </c:pt>
                <c:pt idx="8">
                  <c:v>12.632695877045901</c:v>
                </c:pt>
                <c:pt idx="9">
                  <c:v>13.981244752062301</c:v>
                </c:pt>
                <c:pt idx="10">
                  <c:v>15.308653824348101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Conductance!$P$22</c:f>
              <c:strCache>
                <c:ptCount val="1"/>
                <c:pt idx="0">
                  <c:v>G10</c:v>
                </c:pt>
              </c:strCache>
            </c:strRef>
          </c:tx>
          <c:spPr>
            <a:ln w="381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Conductance!$K$24:$K$33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</c:numCache>
            </c:numRef>
          </c:xVal>
          <c:yVal>
            <c:numRef>
              <c:f>Conductance!$P$24:$P$33</c:f>
              <c:numCache>
                <c:formatCode>General</c:formatCode>
                <c:ptCount val="10"/>
                <c:pt idx="0">
                  <c:v>0.112201845430196</c:v>
                </c:pt>
                <c:pt idx="1">
                  <c:v>0.13535508639149399</c:v>
                </c:pt>
                <c:pt idx="2">
                  <c:v>0.15642186966596799</c:v>
                </c:pt>
                <c:pt idx="3">
                  <c:v>0.23816363890011499</c:v>
                </c:pt>
                <c:pt idx="4">
                  <c:v>0.277249671787415</c:v>
                </c:pt>
                <c:pt idx="5">
                  <c:v>0.30959932133090501</c:v>
                </c:pt>
                <c:pt idx="6">
                  <c:v>0.37373398428054799</c:v>
                </c:pt>
                <c:pt idx="7">
                  <c:v>0.444711587433745</c:v>
                </c:pt>
                <c:pt idx="8">
                  <c:v>0.52332247270971</c:v>
                </c:pt>
                <c:pt idx="9">
                  <c:v>0.60798275473112096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Conductance!$Q$22</c:f>
              <c:strCache>
                <c:ptCount val="1"/>
                <c:pt idx="0">
                  <c:v>Inconel 718</c:v>
                </c:pt>
              </c:strCache>
            </c:strRef>
          </c:tx>
          <c:spPr>
            <a:ln w="38100">
              <a:solidFill>
                <a:srgbClr val="FFFF99"/>
              </a:solidFill>
              <a:prstDash val="solid"/>
            </a:ln>
          </c:spPr>
          <c:marker>
            <c:symbol val="none"/>
          </c:marker>
          <c:xVal>
            <c:numRef>
              <c:f>Conductance!$K$23:$K$33</c:f>
              <c:numCache>
                <c:formatCode>General</c:formatCode>
                <c:ptCount val="1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</c:numCache>
            </c:numRef>
          </c:xVal>
          <c:yVal>
            <c:numRef>
              <c:f>Conductance!$Q$23:$Q$33</c:f>
              <c:numCache>
                <c:formatCode>General</c:formatCode>
                <c:ptCount val="11"/>
                <c:pt idx="0">
                  <c:v>0.67914397505938995</c:v>
                </c:pt>
                <c:pt idx="1">
                  <c:v>1.5189378349340701</c:v>
                </c:pt>
                <c:pt idx="2">
                  <c:v>2.2827127844588002</c:v>
                </c:pt>
                <c:pt idx="3">
                  <c:v>2.9555803404479399</c:v>
                </c:pt>
                <c:pt idx="4">
                  <c:v>5.3162003044221198</c:v>
                </c:pt>
                <c:pt idx="5">
                  <c:v>6.3625879291615997</c:v>
                </c:pt>
                <c:pt idx="6">
                  <c:v>7.1185247606472997</c:v>
                </c:pt>
                <c:pt idx="7">
                  <c:v>8.1211031530110702</c:v>
                </c:pt>
                <c:pt idx="8">
                  <c:v>8.7204879500526609</c:v>
                </c:pt>
                <c:pt idx="9">
                  <c:v>9.1987327578600606</c:v>
                </c:pt>
                <c:pt idx="10">
                  <c:v>9.7928732427686302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Conductance!$N$51:$O$51</c:f>
              <c:strCache>
                <c:ptCount val="1"/>
                <c:pt idx="0">
                  <c:v>SiC (SSG) (Ref 88)</c:v>
                </c:pt>
              </c:strCache>
            </c:strRef>
          </c:tx>
          <c:spPr>
            <a:ln w="38100">
              <a:solidFill>
                <a:srgbClr val="99CCFF"/>
              </a:solidFill>
              <a:prstDash val="solid"/>
            </a:ln>
          </c:spPr>
          <c:marker>
            <c:symbol val="none"/>
          </c:marker>
          <c:xVal>
            <c:numRef>
              <c:f>Conductance!$N$53:$N$56</c:f>
              <c:numCache>
                <c:formatCode>General</c:formatCode>
                <c:ptCount val="4"/>
                <c:pt idx="0">
                  <c:v>138</c:v>
                </c:pt>
                <c:pt idx="1">
                  <c:v>208</c:v>
                </c:pt>
                <c:pt idx="2">
                  <c:v>263</c:v>
                </c:pt>
                <c:pt idx="3">
                  <c:v>298</c:v>
                </c:pt>
              </c:numCache>
            </c:numRef>
          </c:xVal>
          <c:yVal>
            <c:numRef>
              <c:f>Conductance!$O$53:$O$56</c:f>
              <c:numCache>
                <c:formatCode>General</c:formatCode>
                <c:ptCount val="4"/>
                <c:pt idx="0">
                  <c:v>256</c:v>
                </c:pt>
                <c:pt idx="1">
                  <c:v>217</c:v>
                </c:pt>
                <c:pt idx="2">
                  <c:v>182</c:v>
                </c:pt>
                <c:pt idx="3">
                  <c:v>165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Conductance!$F$132:$G$132</c:f>
              <c:strCache>
                <c:ptCount val="1"/>
                <c:pt idx="0">
                  <c:v>POCO SuperSIC-1 (ref 92)</c:v>
                </c:pt>
              </c:strCache>
            </c:strRef>
          </c:tx>
          <c:spPr>
            <a:ln w="381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Conductance!$F$134:$F$142</c:f>
              <c:numCache>
                <c:formatCode>General</c:formatCode>
                <c:ptCount val="9"/>
                <c:pt idx="0">
                  <c:v>173</c:v>
                </c:pt>
                <c:pt idx="1">
                  <c:v>217</c:v>
                </c:pt>
                <c:pt idx="2">
                  <c:v>271</c:v>
                </c:pt>
                <c:pt idx="3">
                  <c:v>320</c:v>
                </c:pt>
                <c:pt idx="4">
                  <c:v>407</c:v>
                </c:pt>
                <c:pt idx="5">
                  <c:v>479</c:v>
                </c:pt>
                <c:pt idx="6">
                  <c:v>579</c:v>
                </c:pt>
                <c:pt idx="7">
                  <c:v>680</c:v>
                </c:pt>
                <c:pt idx="8">
                  <c:v>781</c:v>
                </c:pt>
              </c:numCache>
            </c:numRef>
          </c:xVal>
          <c:yVal>
            <c:numRef>
              <c:f>Conductance!$G$134:$G$142</c:f>
              <c:numCache>
                <c:formatCode>General</c:formatCode>
                <c:ptCount val="9"/>
                <c:pt idx="0">
                  <c:v>726.17610540740384</c:v>
                </c:pt>
                <c:pt idx="1">
                  <c:v>299.3117188466021</c:v>
                </c:pt>
                <c:pt idx="2">
                  <c:v>187.19816002181432</c:v>
                </c:pt>
                <c:pt idx="3">
                  <c:v>154.12269296721314</c:v>
                </c:pt>
                <c:pt idx="4">
                  <c:v>125.44327239821055</c:v>
                </c:pt>
                <c:pt idx="5">
                  <c:v>109.47418090078655</c:v>
                </c:pt>
                <c:pt idx="6">
                  <c:v>91.757931736959947</c:v>
                </c:pt>
                <c:pt idx="7">
                  <c:v>77.752990184503261</c:v>
                </c:pt>
                <c:pt idx="8">
                  <c:v>68.165897614011385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Conductance!$L$132:$M$132</c:f>
              <c:strCache>
                <c:ptCount val="1"/>
                <c:pt idx="0">
                  <c:v>CoorsTek UltraSiC (ref 93)</c:v>
                </c:pt>
              </c:strCache>
            </c:strRef>
          </c:tx>
          <c:spPr>
            <a:ln w="381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Conductance!$L$134:$L$145</c:f>
              <c:numCache>
                <c:formatCode>0.0</c:formatCode>
                <c:ptCount val="12"/>
                <c:pt idx="0">
                  <c:v>4.7297297297297263</c:v>
                </c:pt>
                <c:pt idx="1">
                  <c:v>7.0945945945945894</c:v>
                </c:pt>
                <c:pt idx="2">
                  <c:v>9.932432432432428</c:v>
                </c:pt>
                <c:pt idx="3">
                  <c:v>14.662162162162154</c:v>
                </c:pt>
                <c:pt idx="4">
                  <c:v>19.864864864864863</c:v>
                </c:pt>
                <c:pt idx="5">
                  <c:v>30.270270270270267</c:v>
                </c:pt>
                <c:pt idx="6">
                  <c:v>39.729729729729719</c:v>
                </c:pt>
                <c:pt idx="7">
                  <c:v>59.594594594594589</c:v>
                </c:pt>
                <c:pt idx="8">
                  <c:v>78.040540540540547</c:v>
                </c:pt>
                <c:pt idx="9">
                  <c:v>120.6081081081081</c:v>
                </c:pt>
                <c:pt idx="10">
                  <c:v>179.72972972972974</c:v>
                </c:pt>
                <c:pt idx="11">
                  <c:v>295.60810810810807</c:v>
                </c:pt>
              </c:numCache>
            </c:numRef>
          </c:xVal>
          <c:yVal>
            <c:numRef>
              <c:f>Conductance!$M$134:$M$145</c:f>
              <c:numCache>
                <c:formatCode>0.00</c:formatCode>
                <c:ptCount val="12"/>
                <c:pt idx="0">
                  <c:v>1.8987341772152035</c:v>
                </c:pt>
                <c:pt idx="1">
                  <c:v>2.5316455696202524</c:v>
                </c:pt>
                <c:pt idx="2">
                  <c:v>4.430379746835456</c:v>
                </c:pt>
                <c:pt idx="3">
                  <c:v>12.025316455696213</c:v>
                </c:pt>
                <c:pt idx="4">
                  <c:v>20.25316455696202</c:v>
                </c:pt>
                <c:pt idx="5">
                  <c:v>43.670886075949397</c:v>
                </c:pt>
                <c:pt idx="6">
                  <c:v>68.987341772151893</c:v>
                </c:pt>
                <c:pt idx="7">
                  <c:v>112.02531645569621</c:v>
                </c:pt>
                <c:pt idx="8">
                  <c:v>144.9367088607595</c:v>
                </c:pt>
                <c:pt idx="9">
                  <c:v>188.60759493670886</c:v>
                </c:pt>
                <c:pt idx="10">
                  <c:v>207.59493670886076</c:v>
                </c:pt>
                <c:pt idx="11">
                  <c:v>174.68354430379748</c:v>
                </c:pt>
              </c:numCache>
            </c:numRef>
          </c:yVal>
          <c:smooth val="1"/>
        </c:ser>
        <c:axId val="67057152"/>
        <c:axId val="67076096"/>
      </c:scatterChart>
      <c:valAx>
        <c:axId val="67057152"/>
        <c:scaling>
          <c:logBase val="10"/>
          <c:orientation val="minMax"/>
        </c:scaling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 (K)</a:t>
                </a:r>
              </a:p>
            </c:rich>
          </c:tx>
          <c:layout>
            <c:manualLayout>
              <c:xMode val="edge"/>
              <c:yMode val="edge"/>
              <c:x val="0.40387123867581065"/>
              <c:y val="0.92369667646965814"/>
            </c:manualLayout>
          </c:layout>
          <c:spPr>
            <a:noFill/>
            <a:ln w="25400">
              <a:noFill/>
            </a:ln>
          </c:spPr>
        </c:title>
        <c:numFmt formatCode="0.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076096"/>
        <c:crossesAt val="1E-3"/>
        <c:crossBetween val="midCat"/>
      </c:valAx>
      <c:valAx>
        <c:axId val="67076096"/>
        <c:scaling>
          <c:logBase val="10"/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Thermal Conductivity (W/(m*K))</a:t>
                </a:r>
              </a:p>
            </c:rich>
          </c:tx>
          <c:layout>
            <c:manualLayout>
              <c:xMode val="edge"/>
              <c:yMode val="edge"/>
              <c:x val="2.0645161290322581E-2"/>
              <c:y val="0.30321348385668662"/>
            </c:manualLayout>
          </c:layout>
          <c:spPr>
            <a:noFill/>
            <a:ln w="25400">
              <a:noFill/>
            </a:ln>
          </c:spPr>
        </c:title>
        <c:numFmt formatCode="0.0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05715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4709718059436125"/>
          <c:y val="0.18875544171436401"/>
          <c:w val="0.98967796122258922"/>
          <c:h val="0.8232948592269340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Integrated Expansion for Low Expansion Materials</a:t>
            </a:r>
          </a:p>
        </c:rich>
      </c:tx>
      <c:layout>
        <c:manualLayout>
          <c:xMode val="edge"/>
          <c:yMode val="edge"/>
          <c:x val="0.25380710659898476"/>
          <c:y val="3.0120481927710843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817258883248731"/>
          <c:y val="0.15060270496577122"/>
          <c:w val="0.65862944162436543"/>
          <c:h val="0.71084476743844016"/>
        </c:manualLayout>
      </c:layout>
      <c:scatterChart>
        <c:scatterStyle val="smoothMarker"/>
        <c:ser>
          <c:idx val="1"/>
          <c:order val="0"/>
          <c:tx>
            <c:v>Invar (Fe-36Ni)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'Integrated Expansion'!$B$62:$B$73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Expansion'!$P$62:$P$73</c:f>
              <c:numCache>
                <c:formatCode>General</c:formatCode>
                <c:ptCount val="12"/>
                <c:pt idx="0">
                  <c:v>-4.0000000000000002E-4</c:v>
                </c:pt>
                <c:pt idx="1">
                  <c:v>-4.0000000000000002E-4</c:v>
                </c:pt>
                <c:pt idx="2">
                  <c:v>-4.0000000000000002E-4</c:v>
                </c:pt>
                <c:pt idx="3">
                  <c:v>-3.6129206000000001E-4</c:v>
                </c:pt>
                <c:pt idx="4">
                  <c:v>-3.0752358398437494E-4</c:v>
                </c:pt>
                <c:pt idx="5">
                  <c:v>-2.5240605375E-4</c:v>
                </c:pt>
                <c:pt idx="6">
                  <c:v>-1.9774381273437503E-4</c:v>
                </c:pt>
                <c:pt idx="7">
                  <c:v>-1.4533296000000001E-4</c:v>
                </c:pt>
                <c:pt idx="8">
                  <c:v>-9.6961350234374972E-5</c:v>
                </c:pt>
                <c:pt idx="9">
                  <c:v>-5.440859374999997E-5</c:v>
                </c:pt>
                <c:pt idx="10">
                  <c:v>-1.9446056484375005E-5</c:v>
                </c:pt>
                <c:pt idx="11">
                  <c:v>3.695206439938148E-8</c:v>
                </c:pt>
              </c:numCache>
            </c:numRef>
          </c:yVal>
          <c:smooth val="1"/>
        </c:ser>
        <c:ser>
          <c:idx val="3"/>
          <c:order val="1"/>
          <c:tx>
            <c:strRef>
              <c:f>'Integrated Expansion'!$R$61</c:f>
              <c:strCache>
                <c:ptCount val="1"/>
                <c:pt idx="0">
                  <c:v>Molybdenum</c:v>
                </c:pt>
              </c:strCache>
            </c:strRef>
          </c:tx>
          <c:spPr>
            <a:ln w="381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'Integrated Expansion'!$B$62:$B$73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Expansion'!$R$62:$R$73</c:f>
              <c:numCache>
                <c:formatCode>General</c:formatCode>
                <c:ptCount val="12"/>
                <c:pt idx="0">
                  <c:v>-9.0654022515625015E-4</c:v>
                </c:pt>
                <c:pt idx="1">
                  <c:v>-9.1121335249999991E-4</c:v>
                </c:pt>
                <c:pt idx="2">
                  <c:v>-8.811141126562499E-4</c:v>
                </c:pt>
                <c:pt idx="3">
                  <c:v>-8.2325764000000003E-4</c:v>
                </c:pt>
                <c:pt idx="4">
                  <c:v>-7.4394747265625009E-4</c:v>
                </c:pt>
                <c:pt idx="5">
                  <c:v>-6.4877555249999994E-4</c:v>
                </c:pt>
                <c:pt idx="6">
                  <c:v>-5.4262222515625007E-4</c:v>
                </c:pt>
                <c:pt idx="7">
                  <c:v>-4.296562399999999E-4</c:v>
                </c:pt>
                <c:pt idx="8">
                  <c:v>-3.1333475015625002E-4</c:v>
                </c:pt>
                <c:pt idx="9">
                  <c:v>-1.9640331249999999E-4</c:v>
                </c:pt>
                <c:pt idx="10">
                  <c:v>-8.0895887656249669E-5</c:v>
                </c:pt>
                <c:pt idx="11">
                  <c:v>6.1735885078360302E-7</c:v>
                </c:pt>
              </c:numCache>
            </c:numRef>
          </c:yVal>
          <c:smooth val="1"/>
        </c:ser>
        <c:ser>
          <c:idx val="4"/>
          <c:order val="2"/>
          <c:tx>
            <c:v>Si</c:v>
          </c:tx>
          <c:spPr>
            <a:ln w="381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'Integrated Expansion'!$B$5:$B$12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293</c:v>
                </c:pt>
              </c:numCache>
            </c:numRef>
          </c:xVal>
          <c:yVal>
            <c:numRef>
              <c:f>'Integrated Expansion'!$C$5:$C$12</c:f>
              <c:numCache>
                <c:formatCode>0.00E+00</c:formatCode>
                <c:ptCount val="8"/>
                <c:pt idx="0">
                  <c:v>-2.2000000000000001E-4</c:v>
                </c:pt>
                <c:pt idx="1">
                  <c:v>-2.2000000000000001E-4</c:v>
                </c:pt>
                <c:pt idx="2">
                  <c:v>-2.3000000000000001E-4</c:v>
                </c:pt>
                <c:pt idx="3">
                  <c:v>-2.4000000000000001E-4</c:v>
                </c:pt>
                <c:pt idx="4">
                  <c:v>-2.4000000000000001E-4</c:v>
                </c:pt>
                <c:pt idx="5">
                  <c:v>-1.9000000000000001E-4</c:v>
                </c:pt>
                <c:pt idx="6">
                  <c:v>-1E-4</c:v>
                </c:pt>
                <c:pt idx="7" formatCode="General">
                  <c:v>0</c:v>
                </c:pt>
              </c:numCache>
            </c:numRef>
          </c:yVal>
          <c:smooth val="1"/>
        </c:ser>
        <c:ser>
          <c:idx val="5"/>
          <c:order val="3"/>
          <c:tx>
            <c:v>AlN</c:v>
          </c:tx>
          <c:spPr>
            <a:ln w="381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'Integrated Expansion'!$E$5:$E$10</c:f>
              <c:numCache>
                <c:formatCode>General</c:formatCode>
                <c:ptCount val="6"/>
                <c:pt idx="0">
                  <c:v>75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293</c:v>
                </c:pt>
              </c:numCache>
            </c:numRef>
          </c:xVal>
          <c:yVal>
            <c:numRef>
              <c:f>'Integrated Expansion'!$F$5:$F$10</c:f>
              <c:numCache>
                <c:formatCode>0.00E+00</c:formatCode>
                <c:ptCount val="6"/>
                <c:pt idx="0">
                  <c:v>-2.9999999999999997E-4</c:v>
                </c:pt>
                <c:pt idx="1">
                  <c:v>-3.8999999999999999E-4</c:v>
                </c:pt>
                <c:pt idx="2">
                  <c:v>-2.5999999999999998E-4</c:v>
                </c:pt>
                <c:pt idx="3">
                  <c:v>-1.9000000000000001E-4</c:v>
                </c:pt>
                <c:pt idx="4">
                  <c:v>-1E-4</c:v>
                </c:pt>
                <c:pt idx="5">
                  <c:v>0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'Integrated Expansion'!$C$76</c:f>
              <c:strCache>
                <c:ptCount val="1"/>
                <c:pt idx="0">
                  <c:v>Poco SiC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'Integrated Expansion'!$B$80:$B$88</c:f>
              <c:numCache>
                <c:formatCode>General</c:formatCode>
                <c:ptCount val="9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293</c:v>
                </c:pt>
              </c:numCache>
            </c:numRef>
          </c:xVal>
          <c:yVal>
            <c:numRef>
              <c:f>'Integrated Expansion'!$C$80:$C$88</c:f>
              <c:numCache>
                <c:formatCode>General</c:formatCode>
                <c:ptCount val="9"/>
                <c:pt idx="0">
                  <c:v>-2.3782190649749982E-4</c:v>
                </c:pt>
                <c:pt idx="1">
                  <c:v>-2.2987710605999986E-4</c:v>
                </c:pt>
                <c:pt idx="2">
                  <c:v>-2.1562621187249989E-4</c:v>
                </c:pt>
                <c:pt idx="3">
                  <c:v>-1.9480813018499989E-4</c:v>
                </c:pt>
                <c:pt idx="4">
                  <c:v>-1.6716176724749989E-4</c:v>
                </c:pt>
                <c:pt idx="5">
                  <c:v>-1.3242602930999995E-4</c:v>
                </c:pt>
                <c:pt idx="6">
                  <c:v>-9.0339822622499962E-5</c:v>
                </c:pt>
                <c:pt idx="7">
                  <c:v>-4.0642053435000004E-5</c:v>
                </c:pt>
                <c:pt idx="8">
                  <c:v>0</c:v>
                </c:pt>
              </c:numCache>
            </c:numRef>
          </c:yVal>
          <c:smooth val="1"/>
        </c:ser>
        <c:ser>
          <c:idx val="2"/>
          <c:order val="5"/>
          <c:tx>
            <c:strRef>
              <c:f>'Integrated Expansion'!$D$76</c:f>
              <c:strCache>
                <c:ptCount val="1"/>
                <c:pt idx="0">
                  <c:v>Ceraform SiC</c:v>
                </c:pt>
              </c:strCache>
            </c:strRef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'Integrated Expansion'!$B$77:$B$88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Expansion'!$D$77:$D$88</c:f>
              <c:numCache>
                <c:formatCode>General</c:formatCode>
                <c:ptCount val="12"/>
                <c:pt idx="0">
                  <c:v>-2.0983133171248539E-4</c:v>
                </c:pt>
                <c:pt idx="1">
                  <c:v>-2.1904406893904788E-4</c:v>
                </c:pt>
                <c:pt idx="2">
                  <c:v>-2.2428969444686039E-4</c:v>
                </c:pt>
                <c:pt idx="3">
                  <c:v>-2.245475976890479E-4</c:v>
                </c:pt>
                <c:pt idx="4">
                  <c:v>-2.1899567905623538E-4</c:v>
                </c:pt>
                <c:pt idx="5">
                  <c:v>-2.069966764390479E-4</c:v>
                </c:pt>
                <c:pt idx="6">
                  <c:v>-1.8808449179061039E-4</c:v>
                </c:pt>
                <c:pt idx="7">
                  <c:v>-1.6195051768904789E-4</c:v>
                </c:pt>
                <c:pt idx="8">
                  <c:v>-1.2842996389998538E-4</c:v>
                </c:pt>
                <c:pt idx="9">
                  <c:v>-8.7488183939047899E-5</c:v>
                </c:pt>
                <c:pt idx="10">
                  <c:v>-3.9207001634360405E-5</c:v>
                </c:pt>
                <c:pt idx="11">
                  <c:v>0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'Integrated Expansion'!$E$76</c:f>
              <c:strCache>
                <c:ptCount val="1"/>
                <c:pt idx="0">
                  <c:v>SiC (Rohm-Haas)</c:v>
                </c:pt>
              </c:strCache>
            </c:strRef>
          </c:tx>
          <c:spPr>
            <a:ln w="381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'Integrated Expansion'!$B$77:$B$88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Expansion'!$E$77:$E$88</c:f>
              <c:numCache>
                <c:formatCode>General</c:formatCode>
                <c:ptCount val="12"/>
                <c:pt idx="0">
                  <c:v>-1.8326598875000009E-4</c:v>
                </c:pt>
                <c:pt idx="1">
                  <c:v>-1.9717848875000008E-4</c:v>
                </c:pt>
                <c:pt idx="2">
                  <c:v>-2.0484098875000008E-4</c:v>
                </c:pt>
                <c:pt idx="3">
                  <c:v>-2.0625348875000004E-4</c:v>
                </c:pt>
                <c:pt idx="4">
                  <c:v>-2.0141598875000007E-4</c:v>
                </c:pt>
                <c:pt idx="5">
                  <c:v>-1.9032848875000005E-4</c:v>
                </c:pt>
                <c:pt idx="6">
                  <c:v>-1.7298927750000005E-4</c:v>
                </c:pt>
                <c:pt idx="7">
                  <c:v>-1.4904302750000004E-4</c:v>
                </c:pt>
                <c:pt idx="8">
                  <c:v>-1.1822177750000002E-4</c:v>
                </c:pt>
                <c:pt idx="9">
                  <c:v>-8.0525527500000012E-5</c:v>
                </c:pt>
                <c:pt idx="10">
                  <c:v>-3.5957700000000003E-5</c:v>
                </c:pt>
                <c:pt idx="11">
                  <c:v>0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'Integrated Expansion'!$F$76</c:f>
              <c:strCache>
                <c:ptCount val="1"/>
                <c:pt idx="0">
                  <c:v>SIC (SSG)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'Integrated Expansion'!$B$80:$B$88</c:f>
              <c:numCache>
                <c:formatCode>General</c:formatCode>
                <c:ptCount val="9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293</c:v>
                </c:pt>
              </c:numCache>
            </c:numRef>
          </c:xVal>
          <c:yVal>
            <c:numRef>
              <c:f>'Integrated Expansion'!$F$80:$F$88</c:f>
              <c:numCache>
                <c:formatCode>General</c:formatCode>
                <c:ptCount val="9"/>
                <c:pt idx="0">
                  <c:v>-2.2891869999999999E-4</c:v>
                </c:pt>
                <c:pt idx="1">
                  <c:v>-2.269812E-4</c:v>
                </c:pt>
                <c:pt idx="2">
                  <c:v>-2.1666870000000001E-4</c:v>
                </c:pt>
                <c:pt idx="3">
                  <c:v>-1.9804369999999998E-4</c:v>
                </c:pt>
                <c:pt idx="4">
                  <c:v>-1.7116869999999999E-4</c:v>
                </c:pt>
                <c:pt idx="5">
                  <c:v>-1.3610619999999997E-4</c:v>
                </c:pt>
                <c:pt idx="6">
                  <c:v>-9.2918699999999988E-5</c:v>
                </c:pt>
                <c:pt idx="7">
                  <c:v>-4.1731199999999991E-5</c:v>
                </c:pt>
                <c:pt idx="8">
                  <c:v>0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'Integrated Expansion'!$G$76</c:f>
              <c:strCache>
                <c:ptCount val="1"/>
                <c:pt idx="0">
                  <c:v>SiC (IBCOL)</c:v>
                </c:pt>
              </c:strCache>
            </c:strRef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'Integrated Expansion'!$B$77:$B$88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Expansion'!$G$77:$G$88</c:f>
              <c:numCache>
                <c:formatCode>General</c:formatCode>
                <c:ptCount val="12"/>
                <c:pt idx="0">
                  <c:v>-2.3328963099700017E-4</c:v>
                </c:pt>
                <c:pt idx="1">
                  <c:v>-2.2963268487825013E-4</c:v>
                </c:pt>
                <c:pt idx="2">
                  <c:v>-2.2987453172200006E-4</c:v>
                </c:pt>
                <c:pt idx="3">
                  <c:v>-2.2992216371575008E-4</c:v>
                </c:pt>
                <c:pt idx="4">
                  <c:v>-2.2644424492200015E-4</c:v>
                </c:pt>
                <c:pt idx="5">
                  <c:v>-2.1687111127825014E-4</c:v>
                </c:pt>
                <c:pt idx="6">
                  <c:v>-1.9939477059700015E-4</c:v>
                </c:pt>
                <c:pt idx="7">
                  <c:v>-1.729689025657501E-4</c:v>
                </c:pt>
                <c:pt idx="8">
                  <c:v>-1.3730885874700013E-4</c:v>
                </c:pt>
                <c:pt idx="9">
                  <c:v>-9.2891662578250053E-5</c:v>
                </c:pt>
                <c:pt idx="10">
                  <c:v>-4.0956009372000035E-5</c:v>
                </c:pt>
                <c:pt idx="11">
                  <c:v>0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'Integrated Expansion'!$H$76</c:f>
              <c:strCache>
                <c:ptCount val="1"/>
                <c:pt idx="0">
                  <c:v>SiC (CoorsTek)</c:v>
                </c:pt>
              </c:strCache>
            </c:strRef>
          </c:tx>
          <c:spPr>
            <a:ln w="38100">
              <a:solidFill>
                <a:srgbClr val="CCFFFF"/>
              </a:solidFill>
              <a:prstDash val="solid"/>
            </a:ln>
          </c:spPr>
          <c:marker>
            <c:symbol val="none"/>
          </c:marker>
          <c:xVal>
            <c:numRef>
              <c:f>'Integrated Expansion'!$B$79:$B$88</c:f>
              <c:numCache>
                <c:formatCode>General</c:formatCode>
                <c:ptCount val="10"/>
                <c:pt idx="0">
                  <c:v>75</c:v>
                </c:pt>
                <c:pt idx="1">
                  <c:v>100</c:v>
                </c:pt>
                <c:pt idx="2">
                  <c:v>125</c:v>
                </c:pt>
                <c:pt idx="3">
                  <c:v>150</c:v>
                </c:pt>
                <c:pt idx="4">
                  <c:v>175</c:v>
                </c:pt>
                <c:pt idx="5">
                  <c:v>200</c:v>
                </c:pt>
                <c:pt idx="6">
                  <c:v>225</c:v>
                </c:pt>
                <c:pt idx="7">
                  <c:v>250</c:v>
                </c:pt>
                <c:pt idx="8">
                  <c:v>275</c:v>
                </c:pt>
                <c:pt idx="9">
                  <c:v>293</c:v>
                </c:pt>
              </c:numCache>
            </c:numRef>
          </c:xVal>
          <c:yVal>
            <c:numRef>
              <c:f>'Integrated Expansion'!$H$79:$H$88</c:f>
              <c:numCache>
                <c:formatCode>General</c:formatCode>
                <c:ptCount val="10"/>
                <c:pt idx="0">
                  <c:v>-2.31800125326664E-4</c:v>
                </c:pt>
                <c:pt idx="1">
                  <c:v>-2.183341819873029E-4</c:v>
                </c:pt>
                <c:pt idx="2">
                  <c:v>-2.0468369331081966E-4</c:v>
                </c:pt>
                <c:pt idx="3">
                  <c:v>-1.8994269209726385E-4</c:v>
                </c:pt>
                <c:pt idx="4">
                  <c:v>-1.7244593550531294E-4</c:v>
                </c:pt>
                <c:pt idx="5">
                  <c:v>-1.4924266265952464E-4</c:v>
                </c:pt>
                <c:pt idx="6">
                  <c:v>-1.1873662792299238E-4</c:v>
                </c:pt>
                <c:pt idx="7">
                  <c:v>-8.0525531615708275E-5</c:v>
                </c:pt>
                <c:pt idx="8">
                  <c:v>-3.5786432659027609E-5</c:v>
                </c:pt>
                <c:pt idx="9">
                  <c:v>0</c:v>
                </c:pt>
              </c:numCache>
            </c:numRef>
          </c:yVal>
          <c:smooth val="1"/>
        </c:ser>
        <c:ser>
          <c:idx val="10"/>
          <c:order val="10"/>
          <c:tx>
            <c:v>Cesic</c:v>
          </c:tx>
          <c:spPr>
            <a:ln w="381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'Integrated Expansion'!$K$5:$K$19</c:f>
              <c:numCache>
                <c:formatCode>General</c:formatCode>
                <c:ptCount val="1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293</c:v>
                </c:pt>
              </c:numCache>
            </c:numRef>
          </c:xVal>
          <c:yVal>
            <c:numRef>
              <c:f>'Integrated Expansion'!$L$5:$L$19</c:f>
              <c:numCache>
                <c:formatCode>0.00E+00</c:formatCode>
                <c:ptCount val="15"/>
                <c:pt idx="0">
                  <c:v>-2.2185510418588404E-4</c:v>
                </c:pt>
                <c:pt idx="1">
                  <c:v>-2.2185510418588404E-4</c:v>
                </c:pt>
                <c:pt idx="2">
                  <c:v>-2.2185510418588404E-4</c:v>
                </c:pt>
                <c:pt idx="3">
                  <c:v>-2.2185510418588404E-4</c:v>
                </c:pt>
                <c:pt idx="4">
                  <c:v>-2.2161946584395217E-4</c:v>
                </c:pt>
                <c:pt idx="5">
                  <c:v>-2.1967351238881669E-4</c:v>
                </c:pt>
                <c:pt idx="6">
                  <c:v>-2.150772724074134E-4</c:v>
                </c:pt>
                <c:pt idx="7">
                  <c:v>-2.0699172715620624E-4</c:v>
                </c:pt>
                <c:pt idx="8">
                  <c:v>-1.9350925698875419E-4</c:v>
                </c:pt>
                <c:pt idx="9">
                  <c:v>-1.7449841877509444E-4</c:v>
                </c:pt>
                <c:pt idx="10">
                  <c:v>-1.4847331625996338E-4</c:v>
                </c:pt>
                <c:pt idx="11">
                  <c:v>-1.1597379825416956E-4</c:v>
                </c:pt>
                <c:pt idx="12">
                  <c:v>-7.6238854238300875E-5</c:v>
                </c:pt>
                <c:pt idx="13">
                  <c:v>-3.0952622739129812E-5</c:v>
                </c:pt>
                <c:pt idx="14">
                  <c:v>0</c:v>
                </c:pt>
              </c:numCache>
            </c:numRef>
          </c:yVal>
          <c:smooth val="1"/>
        </c:ser>
        <c:axId val="69042560"/>
        <c:axId val="69044480"/>
      </c:scatterChart>
      <c:valAx>
        <c:axId val="69042560"/>
        <c:scaling>
          <c:orientation val="minMax"/>
          <c:max val="300"/>
        </c:scaling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 (K)</a:t>
                </a:r>
              </a:p>
            </c:rich>
          </c:tx>
          <c:layout>
            <c:manualLayout>
              <c:xMode val="edge"/>
              <c:yMode val="edge"/>
              <c:x val="0.43654822335025378"/>
              <c:y val="0.92369667646965814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44480"/>
        <c:crossesAt val="-4.0000000000000002E-4"/>
        <c:crossBetween val="midCat"/>
      </c:valAx>
      <c:valAx>
        <c:axId val="69044480"/>
        <c:scaling>
          <c:orientation val="minMax"/>
          <c:max val="0"/>
          <c:min val="-4.0000000000000002E-4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Integrated Expansion</a:t>
                </a:r>
              </a:p>
            </c:rich>
          </c:tx>
          <c:layout>
            <c:manualLayout>
              <c:xMode val="edge"/>
              <c:yMode val="edge"/>
              <c:x val="2.030456852791878E-2"/>
              <c:y val="0.36747051196913638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4256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598984771573602"/>
          <c:y val="0.27309300192897573"/>
          <c:w val="0.98984771573604058"/>
          <c:h val="0.7389572990123222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Integrated Expansion for Several Metals</a:t>
            </a:r>
          </a:p>
        </c:rich>
      </c:tx>
      <c:layout>
        <c:manualLayout>
          <c:xMode val="edge"/>
          <c:yMode val="edge"/>
          <c:x val="0.30193561933790536"/>
          <c:y val="3.0120481927710843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129039899848727"/>
          <c:y val="0.15060270496577122"/>
          <c:w val="0.6645165477044781"/>
          <c:h val="0.71084476743844016"/>
        </c:manualLayout>
      </c:layout>
      <c:scatterChart>
        <c:scatterStyle val="smoothMarker"/>
        <c:ser>
          <c:idx val="0"/>
          <c:order val="0"/>
          <c:tx>
            <c:strRef>
              <c:f>'Integrated Expansion'!$C$61</c:f>
              <c:strCache>
                <c:ptCount val="1"/>
                <c:pt idx="0">
                  <c:v>6061-T6 Al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'Integrated Expansion'!$B$62:$B$73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Expansion'!$C$62:$C$73</c:f>
              <c:numCache>
                <c:formatCode>General</c:formatCode>
                <c:ptCount val="12"/>
                <c:pt idx="0">
                  <c:v>-4.1504222031249994E-3</c:v>
                </c:pt>
                <c:pt idx="1">
                  <c:v>-4.0728826250000004E-3</c:v>
                </c:pt>
                <c:pt idx="2">
                  <c:v>-3.9044394843749997E-3</c:v>
                </c:pt>
                <c:pt idx="3">
                  <c:v>-3.6544509999999995E-3</c:v>
                </c:pt>
                <c:pt idx="4">
                  <c:v>-3.3322753906249994E-3</c:v>
                </c:pt>
                <c:pt idx="5">
                  <c:v>-2.9472708750000005E-3</c:v>
                </c:pt>
                <c:pt idx="6">
                  <c:v>-2.5087956718749995E-3</c:v>
                </c:pt>
                <c:pt idx="7">
                  <c:v>-2.0262079999999998E-3</c:v>
                </c:pt>
                <c:pt idx="8">
                  <c:v>-1.5088660781249995E-3</c:v>
                </c:pt>
                <c:pt idx="9">
                  <c:v>-9.661281249999993E-4</c:v>
                </c:pt>
                <c:pt idx="10">
                  <c:v>-4.0735235937499963E-4</c:v>
                </c:pt>
                <c:pt idx="11">
                  <c:v>-3.5697349699972845E-7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'Integrated Expansion'!$F$61</c:f>
              <c:strCache>
                <c:ptCount val="1"/>
                <c:pt idx="0">
                  <c:v>304-SS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'Integrated Expansion'!$B$62:$B$73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Expansion'!$F$62:$F$73</c:f>
              <c:numCache>
                <c:formatCode>General</c:formatCode>
                <c:ptCount val="12"/>
                <c:pt idx="0">
                  <c:v>-3.0000995039062496E-3</c:v>
                </c:pt>
                <c:pt idx="1">
                  <c:v>-2.9470033125000004E-3</c:v>
                </c:pt>
                <c:pt idx="2">
                  <c:v>-2.8126976289062498E-3</c:v>
                </c:pt>
                <c:pt idx="3">
                  <c:v>-2.6121630000000007E-3</c:v>
                </c:pt>
                <c:pt idx="4">
                  <c:v>-2.3587743164062503E-3</c:v>
                </c:pt>
                <c:pt idx="5">
                  <c:v>-2.0643008124999998E-3</c:v>
                </c:pt>
                <c:pt idx="6">
                  <c:v>-1.7389060664062504E-3</c:v>
                </c:pt>
                <c:pt idx="7">
                  <c:v>-1.3911480000000003E-3</c:v>
                </c:pt>
                <c:pt idx="8">
                  <c:v>-1.02797887890625E-3</c:v>
                </c:pt>
                <c:pt idx="9">
                  <c:v>-6.5474531250000036E-4</c:v>
                </c:pt>
                <c:pt idx="10">
                  <c:v>-2.7518825390625095E-4</c:v>
                </c:pt>
                <c:pt idx="11">
                  <c:v>7.4646191726984055E-7</c:v>
                </c:pt>
              </c:numCache>
            </c:numRef>
          </c:yVal>
          <c:smooth val="1"/>
        </c:ser>
        <c:ser>
          <c:idx val="2"/>
          <c:order val="2"/>
          <c:tx>
            <c:v>Beryllium Copper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'Integrated Expansion'!$B$62:$B$73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Expansion'!$J$62:$J$73</c:f>
              <c:numCache>
                <c:formatCode>General</c:formatCode>
                <c:ptCount val="12"/>
                <c:pt idx="0">
                  <c:v>-3.1666732929687504E-3</c:v>
                </c:pt>
                <c:pt idx="1">
                  <c:v>-3.1134201875000003E-3</c:v>
                </c:pt>
                <c:pt idx="2">
                  <c:v>-2.9747186054687497E-3</c:v>
                </c:pt>
                <c:pt idx="3">
                  <c:v>-2.7675830000000001E-3</c:v>
                </c:pt>
                <c:pt idx="4">
                  <c:v>-2.5065643554687501E-3</c:v>
                </c:pt>
                <c:pt idx="5">
                  <c:v>-2.2037501875000003E-3</c:v>
                </c:pt>
                <c:pt idx="6">
                  <c:v>-1.8687645429687496E-3</c:v>
                </c:pt>
                <c:pt idx="7">
                  <c:v>-1.508768E-3</c:v>
                </c:pt>
                <c:pt idx="8">
                  <c:v>-1.12845766796875E-3</c:v>
                </c:pt>
                <c:pt idx="9">
                  <c:v>-7.3006718750000005E-4</c:v>
                </c:pt>
                <c:pt idx="10">
                  <c:v>-3.1336673046874922E-4</c:v>
                </c:pt>
                <c:pt idx="11">
                  <c:v>-5.8963628122938874E-7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'Integrated Expansion'!$K$61</c:f>
              <c:strCache>
                <c:ptCount val="1"/>
                <c:pt idx="0">
                  <c:v>Ti-6Al-4V</c:v>
                </c:pt>
              </c:strCache>
            </c:strRef>
          </c:tx>
          <c:spPr>
            <a:ln w="381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'Integrated Expansion'!$B$62:$B$73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Expansion'!$K$62:$K$73</c:f>
              <c:numCache>
                <c:formatCode>General</c:formatCode>
                <c:ptCount val="12"/>
                <c:pt idx="0">
                  <c:v>-1.73556734375E-3</c:v>
                </c:pt>
                <c:pt idx="1">
                  <c:v>-1.7067137499999999E-3</c:v>
                </c:pt>
                <c:pt idx="2">
                  <c:v>-1.6311057812499999E-3</c:v>
                </c:pt>
                <c:pt idx="3">
                  <c:v>-1.51541E-3</c:v>
                </c:pt>
                <c:pt idx="4">
                  <c:v>-1.36629296875E-3</c:v>
                </c:pt>
                <c:pt idx="5">
                  <c:v>-1.19042125E-3</c:v>
                </c:pt>
                <c:pt idx="6">
                  <c:v>-9.9446140625000009E-4</c:v>
                </c:pt>
                <c:pt idx="7">
                  <c:v>-7.8508000000000007E-4</c:v>
                </c:pt>
                <c:pt idx="8">
                  <c:v>-5.6894359375000026E-4</c:v>
                </c:pt>
                <c:pt idx="9">
                  <c:v>-3.5271874999999995E-4</c:v>
                </c:pt>
                <c:pt idx="10">
                  <c:v>-1.4307203125000028E-4</c:v>
                </c:pt>
                <c:pt idx="11">
                  <c:v>5.7769729999677109E-8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'Integrated Expansion'!$R$61</c:f>
              <c:strCache>
                <c:ptCount val="1"/>
                <c:pt idx="0">
                  <c:v>Molybdenum</c:v>
                </c:pt>
              </c:strCache>
            </c:strRef>
          </c:tx>
          <c:spPr>
            <a:ln w="381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'Integrated Expansion'!$B$62:$B$73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Expansion'!$R$62:$R$73</c:f>
              <c:numCache>
                <c:formatCode>General</c:formatCode>
                <c:ptCount val="12"/>
                <c:pt idx="0">
                  <c:v>-9.0654022515625015E-4</c:v>
                </c:pt>
                <c:pt idx="1">
                  <c:v>-9.1121335249999991E-4</c:v>
                </c:pt>
                <c:pt idx="2">
                  <c:v>-8.811141126562499E-4</c:v>
                </c:pt>
                <c:pt idx="3">
                  <c:v>-8.2325764000000003E-4</c:v>
                </c:pt>
                <c:pt idx="4">
                  <c:v>-7.4394747265625009E-4</c:v>
                </c:pt>
                <c:pt idx="5">
                  <c:v>-6.4877555249999994E-4</c:v>
                </c:pt>
                <c:pt idx="6">
                  <c:v>-5.4262222515625007E-4</c:v>
                </c:pt>
                <c:pt idx="7">
                  <c:v>-4.296562399999999E-4</c:v>
                </c:pt>
                <c:pt idx="8">
                  <c:v>-3.1333475015625002E-4</c:v>
                </c:pt>
                <c:pt idx="9">
                  <c:v>-1.9640331249999999E-4</c:v>
                </c:pt>
                <c:pt idx="10">
                  <c:v>-8.0895887656249669E-5</c:v>
                </c:pt>
                <c:pt idx="11">
                  <c:v>6.1735885078360302E-7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'Integrated Expansion'!$C$92</c:f>
              <c:strCache>
                <c:ptCount val="1"/>
                <c:pt idx="0">
                  <c:v>Be</c:v>
                </c:pt>
              </c:strCache>
            </c:strRef>
          </c:tx>
          <c:spPr>
            <a:ln w="381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'Integrated Expansion'!$B$93:$B$102</c:f>
              <c:numCache>
                <c:formatCode>General</c:formatCode>
                <c:ptCount val="10"/>
                <c:pt idx="0">
                  <c:v>89</c:v>
                </c:pt>
                <c:pt idx="1">
                  <c:v>100</c:v>
                </c:pt>
                <c:pt idx="2">
                  <c:v>125</c:v>
                </c:pt>
                <c:pt idx="3">
                  <c:v>150</c:v>
                </c:pt>
                <c:pt idx="4">
                  <c:v>175</c:v>
                </c:pt>
                <c:pt idx="5">
                  <c:v>200</c:v>
                </c:pt>
                <c:pt idx="6">
                  <c:v>225</c:v>
                </c:pt>
                <c:pt idx="7">
                  <c:v>250</c:v>
                </c:pt>
                <c:pt idx="8">
                  <c:v>275</c:v>
                </c:pt>
                <c:pt idx="9">
                  <c:v>293</c:v>
                </c:pt>
              </c:numCache>
            </c:numRef>
          </c:xVal>
          <c:yVal>
            <c:numRef>
              <c:f>'Integrated Expansion'!$C$93:$C$102</c:f>
              <c:numCache>
                <c:formatCode>General</c:formatCode>
                <c:ptCount val="10"/>
                <c:pt idx="0">
                  <c:v>-1.2015865579621369E-3</c:v>
                </c:pt>
                <c:pt idx="1">
                  <c:v>-1.1906216779182396E-3</c:v>
                </c:pt>
                <c:pt idx="2">
                  <c:v>-1.1544028795038611E-3</c:v>
                </c:pt>
                <c:pt idx="3">
                  <c:v>-1.0909581671436077E-3</c:v>
                </c:pt>
                <c:pt idx="4">
                  <c:v>-9.9112906042497892E-4</c:v>
                </c:pt>
                <c:pt idx="5">
                  <c:v>-8.507329042479752E-4</c:v>
                </c:pt>
                <c:pt idx="6">
                  <c:v>-6.6959032976259675E-4</c:v>
                </c:pt>
                <c:pt idx="7">
                  <c:v>-4.5055271530634346E-4</c:v>
                </c:pt>
                <c:pt idx="8">
                  <c:v>-1.9852964734171503E-4</c:v>
                </c:pt>
                <c:pt idx="9">
                  <c:v>0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'Integrated Expansion'!$I$61</c:f>
              <c:strCache>
                <c:ptCount val="1"/>
                <c:pt idx="0">
                  <c:v>718 Inconel</c:v>
                </c:pt>
              </c:strCache>
            </c:strRef>
          </c:tx>
          <c:spPr>
            <a:ln w="381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'Integrated Expansion'!$B$62:$B$73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Expansion'!$I$62:$I$73</c:f>
              <c:numCache>
                <c:formatCode>General</c:formatCode>
                <c:ptCount val="12"/>
                <c:pt idx="0">
                  <c:v>-2.3877190625000004E-3</c:v>
                </c:pt>
                <c:pt idx="1">
                  <c:v>-2.3451775000000001E-3</c:v>
                </c:pt>
                <c:pt idx="2">
                  <c:v>-2.2468271875000002E-3</c:v>
                </c:pt>
                <c:pt idx="3">
                  <c:v>-2.0991199999999999E-3</c:v>
                </c:pt>
                <c:pt idx="4">
                  <c:v>-1.9085078125E-3</c:v>
                </c:pt>
                <c:pt idx="5">
                  <c:v>-1.6814425000000002E-3</c:v>
                </c:pt>
                <c:pt idx="6">
                  <c:v>-1.4243759375000002E-3</c:v>
                </c:pt>
                <c:pt idx="7">
                  <c:v>-1.14376E-3</c:v>
                </c:pt>
                <c:pt idx="8">
                  <c:v>-8.4604656250000018E-4</c:v>
                </c:pt>
                <c:pt idx="9">
                  <c:v>-5.3768750000000008E-4</c:v>
                </c:pt>
                <c:pt idx="10">
                  <c:v>-2.2513468750000044E-4</c:v>
                </c:pt>
                <c:pt idx="11">
                  <c:v>-1.1220267399997398E-6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'Integrated Expansion'!$I$76</c:f>
              <c:strCache>
                <c:ptCount val="1"/>
                <c:pt idx="0">
                  <c:v>HgTe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'Integrated Expansion'!$B$77:$B$88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Expansion'!$I$77:$I$88</c:f>
              <c:numCache>
                <c:formatCode>General</c:formatCode>
                <c:ptCount val="12"/>
                <c:pt idx="0">
                  <c:v>-8.8178025121253838E-4</c:v>
                </c:pt>
                <c:pt idx="1">
                  <c:v>-9.4714954064283193E-4</c:v>
                </c:pt>
                <c:pt idx="2">
                  <c:v>-9.3131890627365084E-4</c:v>
                </c:pt>
                <c:pt idx="3">
                  <c:v>-8.652102937654301E-4</c:v>
                </c:pt>
                <c:pt idx="4">
                  <c:v>-7.7401431833581556E-4</c:v>
                </c:pt>
                <c:pt idx="5">
                  <c:v>-6.7141535107100958E-4</c:v>
                </c:pt>
                <c:pt idx="6">
                  <c:v>-5.6136445877968326E-4</c:v>
                </c:pt>
                <c:pt idx="7">
                  <c:v>-4.462754022708335E-4</c:v>
                </c:pt>
                <c:pt idx="8">
                  <c:v>-3.2764554341305181E-4</c:v>
                </c:pt>
                <c:pt idx="9">
                  <c:v>-2.073162749771414E-4</c:v>
                </c:pt>
                <c:pt idx="10">
                  <c:v>-8.6658986781694452E-5</c:v>
                </c:pt>
                <c:pt idx="11">
                  <c:v>0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'Integrated Expansion'!$J$76</c:f>
              <c:strCache>
                <c:ptCount val="1"/>
                <c:pt idx="0">
                  <c:v>Hg0.8Cd0.2Te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'Integrated Expansion'!$B$77:$B$88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Expansion'!$J$77:$J$88</c:f>
              <c:numCache>
                <c:formatCode>General</c:formatCode>
                <c:ptCount val="12"/>
                <c:pt idx="0">
                  <c:v>-6.6798963447319926E-4</c:v>
                </c:pt>
                <c:pt idx="1">
                  <c:v>-7.3586974829789901E-4</c:v>
                </c:pt>
                <c:pt idx="2">
                  <c:v>-7.3831041888481989E-4</c:v>
                </c:pt>
                <c:pt idx="3">
                  <c:v>-7.0049970429405281E-4</c:v>
                </c:pt>
                <c:pt idx="4">
                  <c:v>-6.3887507503248002E-4</c:v>
                </c:pt>
                <c:pt idx="5">
                  <c:v>-5.6259098212838011E-4</c:v>
                </c:pt>
                <c:pt idx="6">
                  <c:v>-4.7654282271353206E-4</c:v>
                </c:pt>
                <c:pt idx="7">
                  <c:v>-3.8324333725243021E-4</c:v>
                </c:pt>
                <c:pt idx="8">
                  <c:v>-2.8447687365335445E-4</c:v>
                </c:pt>
                <c:pt idx="9">
                  <c:v>-1.8167320119849356E-4</c:v>
                </c:pt>
                <c:pt idx="10">
                  <c:v>-7.6495655627216205E-5</c:v>
                </c:pt>
                <c:pt idx="11">
                  <c:v>0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'Integrated Expansion'!$K$76</c:f>
              <c:strCache>
                <c:ptCount val="1"/>
                <c:pt idx="0">
                  <c:v>Hg0.3Cd0.7Te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none"/>
          </c:marker>
          <c:xVal>
            <c:numRef>
              <c:f>'Integrated Expansion'!$B$77:$B$88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Expansion'!$K$77:$K$88</c:f>
              <c:numCache>
                <c:formatCode>General</c:formatCode>
                <c:ptCount val="12"/>
                <c:pt idx="0">
                  <c:v>-7.1887000781349782E-4</c:v>
                </c:pt>
                <c:pt idx="1">
                  <c:v>-7.760385763111911E-4</c:v>
                </c:pt>
                <c:pt idx="2">
                  <c:v>-7.7738230325407329E-4</c:v>
                </c:pt>
                <c:pt idx="3">
                  <c:v>-7.3859795204835564E-4</c:v>
                </c:pt>
                <c:pt idx="4">
                  <c:v>-6.7491871408310118E-4</c:v>
                </c:pt>
                <c:pt idx="5">
                  <c:v>-5.9587458848771356E-4</c:v>
                </c:pt>
                <c:pt idx="6">
                  <c:v>-5.0589690525903335E-4</c:v>
                </c:pt>
                <c:pt idx="7">
                  <c:v>-4.0768193932327207E-4</c:v>
                </c:pt>
                <c:pt idx="8">
                  <c:v>-3.0324901835278859E-4</c:v>
                </c:pt>
                <c:pt idx="9">
                  <c:v>-1.9435010585689758E-4</c:v>
                </c:pt>
                <c:pt idx="10">
                  <c:v>-8.2149954666048744E-5</c:v>
                </c:pt>
                <c:pt idx="11">
                  <c:v>0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'Integrated Expansion'!$L$76</c:f>
              <c:strCache>
                <c:ptCount val="1"/>
                <c:pt idx="0">
                  <c:v>CdTe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'Integrated Expansion'!$B$77:$B$88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293</c:v>
                </c:pt>
              </c:numCache>
            </c:numRef>
          </c:xVal>
          <c:yVal>
            <c:numRef>
              <c:f>'Integrated Expansion'!$L$77:$L$88</c:f>
              <c:numCache>
                <c:formatCode>General</c:formatCode>
                <c:ptCount val="12"/>
                <c:pt idx="0">
                  <c:v>-7.0060543370565915E-4</c:v>
                </c:pt>
                <c:pt idx="1">
                  <c:v>-7.6481651314807967E-4</c:v>
                </c:pt>
                <c:pt idx="2">
                  <c:v>-7.7267172828456715E-4</c:v>
                </c:pt>
                <c:pt idx="3">
                  <c:v>-7.3905934728190747E-4</c:v>
                </c:pt>
                <c:pt idx="4">
                  <c:v>-6.7972064880289615E-4</c:v>
                </c:pt>
                <c:pt idx="5">
                  <c:v>-6.0196612501924756E-4</c:v>
                </c:pt>
                <c:pt idx="6">
                  <c:v>-5.1052090894645661E-4</c:v>
                </c:pt>
                <c:pt idx="7">
                  <c:v>-4.0915927622331368E-4</c:v>
                </c:pt>
                <c:pt idx="8">
                  <c:v>-3.0174941072736046E-4</c:v>
                </c:pt>
                <c:pt idx="9">
                  <c:v>-1.9141872140318708E-4</c:v>
                </c:pt>
                <c:pt idx="10">
                  <c:v>-8.0027233418697712E-5</c:v>
                </c:pt>
                <c:pt idx="11">
                  <c:v>0</c:v>
                </c:pt>
              </c:numCache>
            </c:numRef>
          </c:yVal>
          <c:smooth val="1"/>
        </c:ser>
        <c:axId val="70314624"/>
        <c:axId val="70324992"/>
      </c:scatterChart>
      <c:valAx>
        <c:axId val="70314624"/>
        <c:scaling>
          <c:orientation val="minMax"/>
          <c:max val="300"/>
        </c:scaling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 (K)</a:t>
                </a:r>
              </a:p>
            </c:rich>
          </c:tx>
          <c:layout>
            <c:manualLayout>
              <c:xMode val="edge"/>
              <c:yMode val="edge"/>
              <c:x val="0.43225833545000419"/>
              <c:y val="0.92369667646965814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24992"/>
        <c:crossesAt val="-4.4999999999999997E-3"/>
        <c:crossBetween val="midCat"/>
      </c:valAx>
      <c:valAx>
        <c:axId val="70324992"/>
        <c:scaling>
          <c:orientation val="minMax"/>
          <c:max val="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Integrated Expansion</a:t>
                </a:r>
              </a:p>
            </c:rich>
          </c:tx>
          <c:layout>
            <c:manualLayout>
              <c:xMode val="edge"/>
              <c:yMode val="edge"/>
              <c:x val="2.0645161290322581E-2"/>
              <c:y val="0.36747051196913638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1462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548441283549233"/>
          <c:y val="0.27309300192897573"/>
          <c:w val="0.98967809668952667"/>
          <c:h val="0.7389572990123222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14</xdr:row>
      <xdr:rowOff>57150</xdr:rowOff>
    </xdr:from>
    <xdr:to>
      <xdr:col>7</xdr:col>
      <xdr:colOff>171450</xdr:colOff>
      <xdr:row>38</xdr:row>
      <xdr:rowOff>123825</xdr:rowOff>
    </xdr:to>
    <xdr:graphicFrame macro="">
      <xdr:nvGraphicFramePr>
        <xdr:cNvPr id="107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</xdr:row>
      <xdr:rowOff>304800</xdr:rowOff>
    </xdr:from>
    <xdr:to>
      <xdr:col>16</xdr:col>
      <xdr:colOff>314325</xdr:colOff>
      <xdr:row>26</xdr:row>
      <xdr:rowOff>57150</xdr:rowOff>
    </xdr:to>
    <xdr:graphicFrame macro="">
      <xdr:nvGraphicFramePr>
        <xdr:cNvPr id="107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20</xdr:row>
      <xdr:rowOff>38100</xdr:rowOff>
    </xdr:from>
    <xdr:to>
      <xdr:col>21</xdr:col>
      <xdr:colOff>95250</xdr:colOff>
      <xdr:row>49</xdr:row>
      <xdr:rowOff>85725</xdr:rowOff>
    </xdr:to>
    <xdr:graphicFrame macro="">
      <xdr:nvGraphicFramePr>
        <xdr:cNvPr id="617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59</xdr:row>
      <xdr:rowOff>28575</xdr:rowOff>
    </xdr:from>
    <xdr:to>
      <xdr:col>10</xdr:col>
      <xdr:colOff>133350</xdr:colOff>
      <xdr:row>86</xdr:row>
      <xdr:rowOff>76200</xdr:rowOff>
    </xdr:to>
    <xdr:graphicFrame macro="">
      <xdr:nvGraphicFramePr>
        <xdr:cNvPr id="31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59</xdr:row>
      <xdr:rowOff>38100</xdr:rowOff>
    </xdr:from>
    <xdr:to>
      <xdr:col>19</xdr:col>
      <xdr:colOff>161925</xdr:colOff>
      <xdr:row>86</xdr:row>
      <xdr:rowOff>85725</xdr:rowOff>
    </xdr:to>
    <xdr:graphicFrame macro="">
      <xdr:nvGraphicFramePr>
        <xdr:cNvPr id="31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38</xdr:row>
      <xdr:rowOff>47625</xdr:rowOff>
    </xdr:from>
    <xdr:to>
      <xdr:col>7</xdr:col>
      <xdr:colOff>571500</xdr:colOff>
      <xdr:row>62</xdr:row>
      <xdr:rowOff>66675</xdr:rowOff>
    </xdr:to>
    <xdr:pic>
      <xdr:nvPicPr>
        <xdr:cNvPr id="2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48825" y="6219825"/>
          <a:ext cx="2943225" cy="3905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38100</xdr:colOff>
      <xdr:row>68</xdr:row>
      <xdr:rowOff>76200</xdr:rowOff>
    </xdr:from>
    <xdr:to>
      <xdr:col>7</xdr:col>
      <xdr:colOff>247650</xdr:colOff>
      <xdr:row>91</xdr:row>
      <xdr:rowOff>123825</xdr:rowOff>
    </xdr:to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20250" y="11106150"/>
          <a:ext cx="2647950" cy="3933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12</xdr:col>
      <xdr:colOff>114300</xdr:colOff>
      <xdr:row>90</xdr:row>
      <xdr:rowOff>0</xdr:rowOff>
    </xdr:to>
    <xdr:pic>
      <xdr:nvPicPr>
        <xdr:cNvPr id="218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630150" y="11191875"/>
          <a:ext cx="2552700" cy="3562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0</xdr:colOff>
      <xdr:row>69</xdr:row>
      <xdr:rowOff>0</xdr:rowOff>
    </xdr:from>
    <xdr:to>
      <xdr:col>16</xdr:col>
      <xdr:colOff>552450</xdr:colOff>
      <xdr:row>89</xdr:row>
      <xdr:rowOff>114300</xdr:rowOff>
    </xdr:to>
    <xdr:pic>
      <xdr:nvPicPr>
        <xdr:cNvPr id="218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678150" y="11191875"/>
          <a:ext cx="2381250" cy="3514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68</xdr:row>
      <xdr:rowOff>0</xdr:rowOff>
    </xdr:from>
    <xdr:to>
      <xdr:col>21</xdr:col>
      <xdr:colOff>28575</xdr:colOff>
      <xdr:row>88</xdr:row>
      <xdr:rowOff>142875</xdr:rowOff>
    </xdr:to>
    <xdr:pic>
      <xdr:nvPicPr>
        <xdr:cNvPr id="218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8116550" y="11029950"/>
          <a:ext cx="2466975" cy="35433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matweb.com/search/SpecificMaterial.asp?bassnum=O2120" TargetMode="External"/><Relationship Id="rId18" Type="http://schemas.openxmlformats.org/officeDocument/2006/relationships/hyperlink" Target="http://www.corning.com/semiconductoroptics/pdf/ule_2_page_spec_sheets.pdf" TargetMode="External"/><Relationship Id="rId26" Type="http://schemas.openxmlformats.org/officeDocument/2006/relationships/hyperlink" Target="http://www.matweb.com/search/SpecificMaterial.asp?bassnum=MBEO30" TargetMode="External"/><Relationship Id="rId39" Type="http://schemas.openxmlformats.org/officeDocument/2006/relationships/hyperlink" Target="http://www.matweb.com/search/SpecificMaterial.asp?bassnum=NCAR02" TargetMode="External"/><Relationship Id="rId21" Type="http://schemas.openxmlformats.org/officeDocument/2006/relationships/hyperlink" Target="http://www.matweb.com/search/SpecificMaterial.asp?bassnum=C5MT04" TargetMode="External"/><Relationship Id="rId34" Type="http://schemas.openxmlformats.org/officeDocument/2006/relationships/hyperlink" Target="http://www.matweb.com/search/SpecificMaterial.asp?bassnum=MCUACV01" TargetMode="External"/><Relationship Id="rId42" Type="http://schemas.openxmlformats.org/officeDocument/2006/relationships/hyperlink" Target="http://www.matweb.com/search/SpecificMaterial.asp?bassnum=MMAZ36" TargetMode="External"/><Relationship Id="rId47" Type="http://schemas.openxmlformats.org/officeDocument/2006/relationships/hyperlink" Target="http://www.matweb.com/search/SpecificMaterial.asp?bassnum=NINC34" TargetMode="External"/><Relationship Id="rId50" Type="http://schemas.openxmlformats.org/officeDocument/2006/relationships/hyperlink" Target="http://www.matweb.com/search/SpecificMaterial.asp?bassnum=PGE982" TargetMode="External"/><Relationship Id="rId55" Type="http://schemas.openxmlformats.org/officeDocument/2006/relationships/hyperlink" Target="http://www.matweb.com/search/SpecificMaterial.asp?bassnum=PDU923" TargetMode="External"/><Relationship Id="rId63" Type="http://schemas.openxmlformats.org/officeDocument/2006/relationships/hyperlink" Target="http://www.coorstek.com/resources/8510-1024sicmfgsemi.pdf" TargetMode="External"/><Relationship Id="rId68" Type="http://schemas.openxmlformats.org/officeDocument/2006/relationships/hyperlink" Target="http://www.coorstek.com/resources/8510-1024sicmfgsemi.pdf" TargetMode="External"/><Relationship Id="rId76" Type="http://schemas.openxmlformats.org/officeDocument/2006/relationships/hyperlink" Target="http://snap.lbl.gov/bscw/bscw.cgi/d135424/IBCOL-SCI-2004.pdf" TargetMode="External"/><Relationship Id="rId84" Type="http://schemas.openxmlformats.org/officeDocument/2006/relationships/hyperlink" Target="http://www.us.schott.com/optics_devices/english/products/zerodur/index.html" TargetMode="External"/><Relationship Id="rId89" Type="http://schemas.openxmlformats.org/officeDocument/2006/relationships/hyperlink" Target="http://www.matweb.com/search/SpecificMaterial.asp?bassnum=NCMW39" TargetMode="External"/><Relationship Id="rId7" Type="http://schemas.openxmlformats.org/officeDocument/2006/relationships/hyperlink" Target="http://www.matweb.com/search/SpecificMaterial.asp?bassnum=PGLAM04" TargetMode="External"/><Relationship Id="rId71" Type="http://schemas.openxmlformats.org/officeDocument/2006/relationships/hyperlink" Target="http://www.rohmhaas.com/cvdmaterials/CVD_Sil_Carbide/Prop_TypValue.html" TargetMode="External"/><Relationship Id="rId92" Type="http://schemas.openxmlformats.org/officeDocument/2006/relationships/hyperlink" Target="http://www.berylliumproducts.com/web/bpdweb.nsf/AllDocsByID/8D86FFC3AC93EBD985256F26004C8B7E/$File/AlBeMet+Properties+Catalog.pps" TargetMode="External"/><Relationship Id="rId2" Type="http://schemas.openxmlformats.org/officeDocument/2006/relationships/hyperlink" Target="http://www.matweb.com/search/SpecificMaterial.asp?bassnum=P1SM50" TargetMode="External"/><Relationship Id="rId16" Type="http://schemas.openxmlformats.org/officeDocument/2006/relationships/hyperlink" Target="http://www.matweb.com/search/SpecificMaterial.asp?bassnum=NELG00" TargetMode="External"/><Relationship Id="rId29" Type="http://schemas.openxmlformats.org/officeDocument/2006/relationships/hyperlink" Target="http://www.matweb.com/search/SpecificMaterial.asp?bassnum=MCUDAL03" TargetMode="External"/><Relationship Id="rId11" Type="http://schemas.openxmlformats.org/officeDocument/2006/relationships/hyperlink" Target="http://www.matweb.com/search/SpecificMaterial.asp?bassnum=MTC00" TargetMode="External"/><Relationship Id="rId24" Type="http://schemas.openxmlformats.org/officeDocument/2006/relationships/hyperlink" Target="http://www.matweb.com/search/SpecificMaterial.asp?bassnum=Q440CA" TargetMode="External"/><Relationship Id="rId32" Type="http://schemas.openxmlformats.org/officeDocument/2006/relationships/hyperlink" Target="http://www.matweb.com/search/SpecificMaterial.asp?bassnum=MCUABP01" TargetMode="External"/><Relationship Id="rId37" Type="http://schemas.openxmlformats.org/officeDocument/2006/relationships/hyperlink" Target="http://www.matweb.com/search/SpecificMaterial.asp?bassnum=MEGe00" TargetMode="External"/><Relationship Id="rId40" Type="http://schemas.openxmlformats.org/officeDocument/2006/relationships/hyperlink" Target="http://www.matweb.com/search/SpecificMaterial.asp?bassnum=PDUK04" TargetMode="External"/><Relationship Id="rId45" Type="http://schemas.openxmlformats.org/officeDocument/2006/relationships/hyperlink" Target="http://www.matweb.com/search/SpecificMaterial.asp?bassnum=CMYKROY00" TargetMode="External"/><Relationship Id="rId53" Type="http://schemas.openxmlformats.org/officeDocument/2006/relationships/hyperlink" Target="http://www.matweb.com/search/SpecificMaterial.asp?bassnum=Q304A" TargetMode="External"/><Relationship Id="rId58" Type="http://schemas.openxmlformats.org/officeDocument/2006/relationships/hyperlink" Target="http://optics.nasa.gov/tech_days/tech_days_2002/docs/31XineticsLargeLowTemperatureSiliconCarbideMirrors.pdf" TargetMode="External"/><Relationship Id="rId66" Type="http://schemas.openxmlformats.org/officeDocument/2006/relationships/hyperlink" Target="http://www.coorstek.com/resources/8510-1024sicmfgsemi.pdf" TargetMode="External"/><Relationship Id="rId74" Type="http://schemas.openxmlformats.org/officeDocument/2006/relationships/hyperlink" Target="http://snap.lbl.gov/bscw/bscw.cgi/d136917/SSG%20SiC%20Overview%20SNAP.pdf" TargetMode="External"/><Relationship Id="rId79" Type="http://schemas.openxmlformats.org/officeDocument/2006/relationships/hyperlink" Target="http://snap.lbl.gov/bscw/bscw.cgi/d135747/POCO-Property%20Table%20for%20SuperSiC%20Rev.doc" TargetMode="External"/><Relationship Id="rId87" Type="http://schemas.openxmlformats.org/officeDocument/2006/relationships/hyperlink" Target="http://www.cesic.de/prospekte/cesic_mf_data_en.pdf" TargetMode="External"/><Relationship Id="rId5" Type="http://schemas.openxmlformats.org/officeDocument/2006/relationships/hyperlink" Target="http://www.matweb.com/search/SpecificMaterial.asp?bassnum=P1SM51" TargetMode="External"/><Relationship Id="rId61" Type="http://schemas.openxmlformats.org/officeDocument/2006/relationships/hyperlink" Target="http://www.matweb.com/search/SpecificMaterial.asp?bassnum=Q660AC" TargetMode="External"/><Relationship Id="rId82" Type="http://schemas.openxmlformats.org/officeDocument/2006/relationships/hyperlink" Target="http://www.us.schott.com/optics_devices/english/products/zerodur/index.html" TargetMode="External"/><Relationship Id="rId90" Type="http://schemas.openxmlformats.org/officeDocument/2006/relationships/hyperlink" Target="http://www.cmwinc.com/metals/metalsframe.html" TargetMode="External"/><Relationship Id="rId95" Type="http://schemas.openxmlformats.org/officeDocument/2006/relationships/printerSettings" Target="../printerSettings/printerSettings2.bin"/><Relationship Id="rId19" Type="http://schemas.openxmlformats.org/officeDocument/2006/relationships/hyperlink" Target="http://www.corning.com/semiconductoroptics/pdf/ule_2_page_spec_sheets.pdf" TargetMode="External"/><Relationship Id="rId14" Type="http://schemas.openxmlformats.org/officeDocument/2006/relationships/hyperlink" Target="http://www.matweb.com/search/SpecificMaterial.asp?bassnum=O2130" TargetMode="External"/><Relationship Id="rId22" Type="http://schemas.openxmlformats.org/officeDocument/2006/relationships/hyperlink" Target="http://www.matweb.com/search/SpecificMaterial.asp?bassnum=MESi00" TargetMode="External"/><Relationship Id="rId27" Type="http://schemas.openxmlformats.org/officeDocument/2006/relationships/hyperlink" Target="http://www.matweb.com/search/SpecificMaterial.asp?bassnum=MA1100O" TargetMode="External"/><Relationship Id="rId30" Type="http://schemas.openxmlformats.org/officeDocument/2006/relationships/hyperlink" Target="http://www.matweb.com/search/SpecificMaterial.asp?bassnum=BBeOA" TargetMode="External"/><Relationship Id="rId35" Type="http://schemas.openxmlformats.org/officeDocument/2006/relationships/hyperlink" Target="http://www.matweb.com/search/SpecificMaterial.asp?bassnum=MCUACW01" TargetMode="External"/><Relationship Id="rId43" Type="http://schemas.openxmlformats.org/officeDocument/2006/relationships/hyperlink" Target="http://www.matweb.com/search/SpecificMaterial.asp?bassnum=MEMo01" TargetMode="External"/><Relationship Id="rId48" Type="http://schemas.openxmlformats.org/officeDocument/2006/relationships/hyperlink" Target="http://www.matweb.com/search/SpecificMaterial.asp?bassnum=PGE979" TargetMode="External"/><Relationship Id="rId56" Type="http://schemas.openxmlformats.org/officeDocument/2006/relationships/hyperlink" Target="http://www.matweb.com/search/SpecificMaterial.asp?bassnum=O1902" TargetMode="External"/><Relationship Id="rId64" Type="http://schemas.openxmlformats.org/officeDocument/2006/relationships/hyperlink" Target="http://www.coorstek.com/resources/8510-1024sicmfgsemi.pdf" TargetMode="External"/><Relationship Id="rId69" Type="http://schemas.openxmlformats.org/officeDocument/2006/relationships/hyperlink" Target="http://www.boostec.com/SiCTypicalCharacteristics.pdf" TargetMode="External"/><Relationship Id="rId77" Type="http://schemas.openxmlformats.org/officeDocument/2006/relationships/hyperlink" Target="http://snap.lbl.gov/bscw/bscw.cgi/d135747/POCO-Property%20Table%20for%20SuperSiC%20Rev.doc" TargetMode="External"/><Relationship Id="rId8" Type="http://schemas.openxmlformats.org/officeDocument/2006/relationships/hyperlink" Target="http://www.matweb.com/search/SpecificMaterial.asp?bassnum=NCALZ21" TargetMode="External"/><Relationship Id="rId51" Type="http://schemas.openxmlformats.org/officeDocument/2006/relationships/hyperlink" Target="http://www.matweb.com/search/SpecificMaterial.asp?bassnum=PGE978" TargetMode="External"/><Relationship Id="rId72" Type="http://schemas.openxmlformats.org/officeDocument/2006/relationships/hyperlink" Target="http://www.rohmhaas.com/cvdmaterials/CVD_Sil_Carbide/Prop_TypValue.html" TargetMode="External"/><Relationship Id="rId80" Type="http://schemas.openxmlformats.org/officeDocument/2006/relationships/hyperlink" Target="http://snap.lbl.gov/bscw/bscw.cgi/d135954/SNAP%20presentation%206-22-05.pps" TargetMode="External"/><Relationship Id="rId85" Type="http://schemas.openxmlformats.org/officeDocument/2006/relationships/hyperlink" Target="http://www.us.schott.com/optics_devices/english/products/zerodur/index.html" TargetMode="External"/><Relationship Id="rId93" Type="http://schemas.openxmlformats.org/officeDocument/2006/relationships/hyperlink" Target="http://www.corning.com/docs/specialtymaterials/pisheets/H0607_hpfs_Standard_ProductSheet.pdf" TargetMode="External"/><Relationship Id="rId3" Type="http://schemas.openxmlformats.org/officeDocument/2006/relationships/hyperlink" Target="http://www.matweb.com/search/SpecificMaterial.asp?bassnum=MTP641" TargetMode="External"/><Relationship Id="rId12" Type="http://schemas.openxmlformats.org/officeDocument/2006/relationships/hyperlink" Target="http://www.matweb.com/search/SpecificMaterial.asp?bassnum=O2120" TargetMode="External"/><Relationship Id="rId17" Type="http://schemas.openxmlformats.org/officeDocument/2006/relationships/hyperlink" Target="http://www.matweb.com/search/SpecificMaterial.asp?bassnum=NELG00" TargetMode="External"/><Relationship Id="rId25" Type="http://schemas.openxmlformats.org/officeDocument/2006/relationships/hyperlink" Target="http://www.matweb.com/search/SpecificMaterial.asp?bassnum=MA6061T6" TargetMode="External"/><Relationship Id="rId33" Type="http://schemas.openxmlformats.org/officeDocument/2006/relationships/hyperlink" Target="http://www.matweb.com/search/SpecificMaterial.asp?bassnum=MCUABS01" TargetMode="External"/><Relationship Id="rId38" Type="http://schemas.openxmlformats.org/officeDocument/2006/relationships/hyperlink" Target="http://www.matweb.com/search/SpecificMaterial.asp?bassnum=BQUARTZ" TargetMode="External"/><Relationship Id="rId46" Type="http://schemas.openxmlformats.org/officeDocument/2006/relationships/hyperlink" Target="http://www.matweb.com/search/SpecificMaterial.asp?bassnum=NINC10" TargetMode="External"/><Relationship Id="rId59" Type="http://schemas.openxmlformats.org/officeDocument/2006/relationships/hyperlink" Target="http://optics.nasa.gov/tech_days/tech_days_2002/docs/31XineticsLargeLowTemperatureSiliconCarbideMirrors.pdf" TargetMode="External"/><Relationship Id="rId67" Type="http://schemas.openxmlformats.org/officeDocument/2006/relationships/hyperlink" Target="http://www.coorstek.com/resources/8510-1024sicmfgsemi.pdf" TargetMode="External"/><Relationship Id="rId20" Type="http://schemas.openxmlformats.org/officeDocument/2006/relationships/hyperlink" Target="http://www.matweb.com/search/SpecificMaterial.asp?bassnum=C5MT04" TargetMode="External"/><Relationship Id="rId41" Type="http://schemas.openxmlformats.org/officeDocument/2006/relationships/hyperlink" Target="http://www.matweb.com/search/SpecificMaterial.asp?bassnum=NCAR60" TargetMode="External"/><Relationship Id="rId54" Type="http://schemas.openxmlformats.org/officeDocument/2006/relationships/hyperlink" Target="http://www.matweb.com/search/SpecificMaterial.asp?bassnum=METa01" TargetMode="External"/><Relationship Id="rId62" Type="http://schemas.openxmlformats.org/officeDocument/2006/relationships/hyperlink" Target="http://snap.lbl.gov/bscw/bscw.cgi/d135747/POCO-Property%20Table%20for%20SuperSiC%20Rev.doc" TargetMode="External"/><Relationship Id="rId70" Type="http://schemas.openxmlformats.org/officeDocument/2006/relationships/hyperlink" Target="http://www.boostec.com/SiCTypicalCharacteristics.pdf" TargetMode="External"/><Relationship Id="rId75" Type="http://schemas.openxmlformats.org/officeDocument/2006/relationships/hyperlink" Target="http://snap.lbl.gov/bscw/bscw.cgi/d135424/IBCOL-SCI-2004.pdf" TargetMode="External"/><Relationship Id="rId83" Type="http://schemas.openxmlformats.org/officeDocument/2006/relationships/hyperlink" Target="http://www.us.schott.com/optics_devices/english/products/zerodur/index.html" TargetMode="External"/><Relationship Id="rId88" Type="http://schemas.openxmlformats.org/officeDocument/2006/relationships/hyperlink" Target="http://www.cesic.de/prospekte/cesic_mf_data_en.pdf" TargetMode="External"/><Relationship Id="rId91" Type="http://schemas.openxmlformats.org/officeDocument/2006/relationships/hyperlink" Target="http://www.berylliumproducts.com/web/bpdweb.nsf/AllDocsByID/8D86FFC3AC93EBD985256F26004C8B7E/$File/AlBeMet+Properties+Catalog.pps" TargetMode="External"/><Relationship Id="rId1" Type="http://schemas.openxmlformats.org/officeDocument/2006/relationships/hyperlink" Target="http://www.matweb.com/search/SpecificMaterial.asp?bassnum=P1SM50" TargetMode="External"/><Relationship Id="rId6" Type="http://schemas.openxmlformats.org/officeDocument/2006/relationships/hyperlink" Target="http://www.matweb.com/search/SpecificMaterial.asp?bassnum=PGLAM04" TargetMode="External"/><Relationship Id="rId15" Type="http://schemas.openxmlformats.org/officeDocument/2006/relationships/hyperlink" Target="http://www.matweb.com/search/SpecificMaterial.asp?bassnum=O2130" TargetMode="External"/><Relationship Id="rId23" Type="http://schemas.openxmlformats.org/officeDocument/2006/relationships/hyperlink" Target="http://www.matweb.com/search/SpecificMaterial.asp?bassnum=DSEM87" TargetMode="External"/><Relationship Id="rId28" Type="http://schemas.openxmlformats.org/officeDocument/2006/relationships/hyperlink" Target="http://www.matweb.com/search/SpecificMaterial.asp?bassnum=MCUABA00" TargetMode="External"/><Relationship Id="rId36" Type="http://schemas.openxmlformats.org/officeDocument/2006/relationships/hyperlink" Target="http://www.matweb.com/search/SpecificMaterial.asp?bassnum=P1SM03" TargetMode="External"/><Relationship Id="rId49" Type="http://schemas.openxmlformats.org/officeDocument/2006/relationships/hyperlink" Target="http://www.matweb.com/search/SpecificMaterial.asp?bassnum=PGE977" TargetMode="External"/><Relationship Id="rId57" Type="http://schemas.openxmlformats.org/officeDocument/2006/relationships/hyperlink" Target="http://www.matweb.com/search/SpecificMaterial.asp?bassnum=MEW000" TargetMode="External"/><Relationship Id="rId10" Type="http://schemas.openxmlformats.org/officeDocument/2006/relationships/hyperlink" Target="http://www.goodfellow.com/csp/active/gfMaterialInfo.csp?text=*C&amp;MATID=CU04&amp;material=1" TargetMode="External"/><Relationship Id="rId31" Type="http://schemas.openxmlformats.org/officeDocument/2006/relationships/hyperlink" Target="http://www.matweb.com/search/SpecificMaterial.asp?bassnum=MC102B" TargetMode="External"/><Relationship Id="rId44" Type="http://schemas.openxmlformats.org/officeDocument/2006/relationships/hyperlink" Target="http://www.matweb.com/search/SpecificMaterial.asp?bassnum=MRMo20" TargetMode="External"/><Relationship Id="rId52" Type="http://schemas.openxmlformats.org/officeDocument/2006/relationships/hyperlink" Target="http://www.matweb.com/search/SpecificMaterial.asp?bassnum=PGE978" TargetMode="External"/><Relationship Id="rId60" Type="http://schemas.openxmlformats.org/officeDocument/2006/relationships/hyperlink" Target="http://www.matweb.com/search/SpecificMaterial.asp?bassnum=Q660AC" TargetMode="External"/><Relationship Id="rId65" Type="http://schemas.openxmlformats.org/officeDocument/2006/relationships/hyperlink" Target="http://www.coorstek.com/resources/8510-1024sicmfgsemi.pdf" TargetMode="External"/><Relationship Id="rId73" Type="http://schemas.openxmlformats.org/officeDocument/2006/relationships/hyperlink" Target="http://snap.lbl.gov/bscw/bscw.cgi/d136917/SSG%20SiC%20Overview%20SNAP.pdf" TargetMode="External"/><Relationship Id="rId78" Type="http://schemas.openxmlformats.org/officeDocument/2006/relationships/hyperlink" Target="http://snap.lbl.gov/bscw/bscw.cgi/d135747/POCO-Property%20Table%20for%20SuperSiC%20Rev.doc" TargetMode="External"/><Relationship Id="rId81" Type="http://schemas.openxmlformats.org/officeDocument/2006/relationships/hyperlink" Target="http://snap.lbl.gov/bscw/bscw.cgi/d135954/SNAP%20presentation%206-22-05.pps" TargetMode="External"/><Relationship Id="rId86" Type="http://schemas.openxmlformats.org/officeDocument/2006/relationships/hyperlink" Target="http://www.matweb.com/search/SpecificMaterial.asp?bassnum=MA6063T5" TargetMode="External"/><Relationship Id="rId94" Type="http://schemas.openxmlformats.org/officeDocument/2006/relationships/hyperlink" Target="http://www.corning.com/docs/specialtymaterials/pisheets/H0607_hpfs_Standard_ProductSheet.pdf" TargetMode="External"/><Relationship Id="rId4" Type="http://schemas.openxmlformats.org/officeDocument/2006/relationships/hyperlink" Target="http://www.matweb.com/search/SpecificMaterial.asp?bassnum=P1SM51" TargetMode="External"/><Relationship Id="rId9" Type="http://schemas.openxmlformats.org/officeDocument/2006/relationships/hyperlink" Target="http://www.goodfellow.com/csp/active/gfMaterialInfo.csp?text=*M&amp;MATID=CU06&amp;material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erylliumproducts.com/web/bpdweb.nsf/LITLOOKUP/4A44FB211BF77D3B85256A39005DF9A3" TargetMode="External"/><Relationship Id="rId13" Type="http://schemas.openxmlformats.org/officeDocument/2006/relationships/hyperlink" Target="http://snap.lbl.gov/bscw/bscw.cgi/d135741/POCO-Cryo%20TC.xls" TargetMode="External"/><Relationship Id="rId18" Type="http://schemas.openxmlformats.org/officeDocument/2006/relationships/hyperlink" Target="https://cindasdata.com/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://cryogenics.nist.gov/NewFiles/material_properties.html" TargetMode="External"/><Relationship Id="rId21" Type="http://schemas.openxmlformats.org/officeDocument/2006/relationships/hyperlink" Target="https://cindasdata.com/" TargetMode="External"/><Relationship Id="rId7" Type="http://schemas.openxmlformats.org/officeDocument/2006/relationships/hyperlink" Target="http://snap.lbl.gov/bscw/bscw.cgi/d127917/Emmet%20glue%20data.pdf" TargetMode="External"/><Relationship Id="rId12" Type="http://schemas.openxmlformats.org/officeDocument/2006/relationships/hyperlink" Target="http://snap.lbl.gov/bscw/bscw.cgi/d135741/POCO-Cryo%20TC.xls" TargetMode="External"/><Relationship Id="rId17" Type="http://schemas.openxmlformats.org/officeDocument/2006/relationships/hyperlink" Target="https://cindasdata.com/" TargetMode="External"/><Relationship Id="rId25" Type="http://schemas.openxmlformats.org/officeDocument/2006/relationships/hyperlink" Target="http://spiedl.aip.org/getpdf/servlet/GetPDFServlet?filetype=pdf&amp;id=PSISDG004771000001000222000001&amp;idtype=cvips&amp;prog=normal" TargetMode="External"/><Relationship Id="rId2" Type="http://schemas.openxmlformats.org/officeDocument/2006/relationships/hyperlink" Target="http://www.techapps.com/GFTS%20info%20paper072104.pdf" TargetMode="External"/><Relationship Id="rId16" Type="http://schemas.openxmlformats.org/officeDocument/2006/relationships/hyperlink" Target="https://cindasdata.com/" TargetMode="External"/><Relationship Id="rId20" Type="http://schemas.openxmlformats.org/officeDocument/2006/relationships/hyperlink" Target="https://cindasdata.com/" TargetMode="External"/><Relationship Id="rId1" Type="http://schemas.openxmlformats.org/officeDocument/2006/relationships/hyperlink" Target="http://www.k-technology.com/Graphite.htm" TargetMode="External"/><Relationship Id="rId6" Type="http://schemas.openxmlformats.org/officeDocument/2006/relationships/hyperlink" Target="http://snap.lbl.gov/bscw/bscw.cgi/d128689/Hysol%20EA_9361%20data" TargetMode="External"/><Relationship Id="rId11" Type="http://schemas.openxmlformats.org/officeDocument/2006/relationships/hyperlink" Target="http://snap.lbl.gov/bscw/bscw.cgi/d136917/SSG%20SiC%20Overview%20SNAP.pdf" TargetMode="External"/><Relationship Id="rId24" Type="http://schemas.openxmlformats.org/officeDocument/2006/relationships/hyperlink" Target="http://www.cesic.de/prospekte/cesic_mf_data_en.pdf" TargetMode="External"/><Relationship Id="rId5" Type="http://schemas.openxmlformats.org/officeDocument/2006/relationships/hyperlink" Target="http://www.rohmhaas.com/cvdmaterials/CVD_Sil_Carbide/TempDpdt_Prop.html" TargetMode="External"/><Relationship Id="rId15" Type="http://schemas.openxmlformats.org/officeDocument/2006/relationships/hyperlink" Target="https://cindasdata.com/" TargetMode="External"/><Relationship Id="rId23" Type="http://schemas.openxmlformats.org/officeDocument/2006/relationships/hyperlink" Target="https://cindasdata.com/" TargetMode="External"/><Relationship Id="rId10" Type="http://schemas.openxmlformats.org/officeDocument/2006/relationships/hyperlink" Target="http://www.efunda.com/materials/elements/TC_Table.cfm?Element_ID=Mg" TargetMode="External"/><Relationship Id="rId19" Type="http://schemas.openxmlformats.org/officeDocument/2006/relationships/hyperlink" Target="https://cindasdata.com/" TargetMode="External"/><Relationship Id="rId4" Type="http://schemas.openxmlformats.org/officeDocument/2006/relationships/hyperlink" Target="http://cryogenics.nist.gov/NewFiles/material_properties.html" TargetMode="External"/><Relationship Id="rId9" Type="http://schemas.openxmlformats.org/officeDocument/2006/relationships/hyperlink" Target="http://www.xinetics.com/sic_material.html" TargetMode="External"/><Relationship Id="rId14" Type="http://schemas.openxmlformats.org/officeDocument/2006/relationships/hyperlink" Target="http://snap.lbl.gov/bscw/bscw.cgi/d135954/SNAP%20presentation%206-22-05.pps" TargetMode="External"/><Relationship Id="rId22" Type="http://schemas.openxmlformats.org/officeDocument/2006/relationships/hyperlink" Target="https://cindasdata.com/" TargetMode="External"/><Relationship Id="rId27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snap.lbl.gov/bscw/bscw.cgi/d128689/Hysol%20EA_9361%20data" TargetMode="External"/><Relationship Id="rId13" Type="http://schemas.openxmlformats.org/officeDocument/2006/relationships/hyperlink" Target="http://snap.lbl.gov/bscw/bscw.cgi/d135954/SNAP%20presentation%206-22-05.pps" TargetMode="External"/><Relationship Id="rId18" Type="http://schemas.openxmlformats.org/officeDocument/2006/relationships/hyperlink" Target="https://cindasdata.com/" TargetMode="External"/><Relationship Id="rId26" Type="http://schemas.openxmlformats.org/officeDocument/2006/relationships/hyperlink" Target="https://cindasdata.com/" TargetMode="External"/><Relationship Id="rId3" Type="http://schemas.openxmlformats.org/officeDocument/2006/relationships/hyperlink" Target="http://snap.lbl.gov/bscw/bscw.cgi/d64154/Coefficients%20of%20Linear%20Expansion" TargetMode="External"/><Relationship Id="rId21" Type="http://schemas.openxmlformats.org/officeDocument/2006/relationships/hyperlink" Target="http://www.us.schott.com/optics_devices/english/download/tie-37_thermal_expansion_of_zerodur_us.pdf" TargetMode="External"/><Relationship Id="rId7" Type="http://schemas.openxmlformats.org/officeDocument/2006/relationships/hyperlink" Target="http://www.rohmhaas.com/cvdmaterials/CVD_Sil_Carbide/TempDpdt_Prop.html" TargetMode="External"/><Relationship Id="rId12" Type="http://schemas.openxmlformats.org/officeDocument/2006/relationships/hyperlink" Target="http://snap.lbl.gov/bscw/bscw.cgi/d135424/IBCOL-SCI-2004.pdf" TargetMode="External"/><Relationship Id="rId17" Type="http://schemas.openxmlformats.org/officeDocument/2006/relationships/hyperlink" Target="http://snap.lbl.gov/bscw/bscw.cgi/d64154/Coefficients%20of%20Linear%20Expansion" TargetMode="External"/><Relationship Id="rId25" Type="http://schemas.openxmlformats.org/officeDocument/2006/relationships/hyperlink" Target="http://www.us.schott.com/optics_devices/english/download/tie-37_thermal_expansion_of_zerodur_us.pdf" TargetMode="External"/><Relationship Id="rId2" Type="http://schemas.openxmlformats.org/officeDocument/2006/relationships/hyperlink" Target="http://snap.lbl.gov/bscw/bscw.cgi/d64154/Coefficients%20of%20Linear%20Expansion" TargetMode="External"/><Relationship Id="rId16" Type="http://schemas.openxmlformats.org/officeDocument/2006/relationships/hyperlink" Target="https://cindasdata.com/" TargetMode="External"/><Relationship Id="rId20" Type="http://schemas.openxmlformats.org/officeDocument/2006/relationships/hyperlink" Target="https://cindasdata.com/" TargetMode="External"/><Relationship Id="rId29" Type="http://schemas.openxmlformats.org/officeDocument/2006/relationships/printerSettings" Target="../printerSettings/printerSettings7.bin"/><Relationship Id="rId1" Type="http://schemas.openxmlformats.org/officeDocument/2006/relationships/hyperlink" Target="http://snap.lbl.gov/bscw/bscw.cgi/d64154/Coefficients%20of%20Linear%20Expansion" TargetMode="External"/><Relationship Id="rId6" Type="http://schemas.openxmlformats.org/officeDocument/2006/relationships/hyperlink" Target="http://snap.lbl.gov/bscw/bscw.cgi/d135735/POCO-Cryo%20CTE.xls" TargetMode="External"/><Relationship Id="rId11" Type="http://schemas.openxmlformats.org/officeDocument/2006/relationships/hyperlink" Target="http://www.rohmhaas.com/cvdmaterials/CVD_Sil_Carbide/TempDpdt_Prop.html" TargetMode="External"/><Relationship Id="rId24" Type="http://schemas.openxmlformats.org/officeDocument/2006/relationships/hyperlink" Target="http://www.us.schott.com/optics_devices/english/download/tie-37_thermal_expansion_of_zerodur_us.pdf" TargetMode="External"/><Relationship Id="rId5" Type="http://schemas.openxmlformats.org/officeDocument/2006/relationships/hyperlink" Target="http://cryogenics.nist.gov/NewFiles/material_properties.html" TargetMode="External"/><Relationship Id="rId15" Type="http://schemas.openxmlformats.org/officeDocument/2006/relationships/hyperlink" Target="https://cindasdata.com/" TargetMode="External"/><Relationship Id="rId23" Type="http://schemas.openxmlformats.org/officeDocument/2006/relationships/hyperlink" Target="http://www.us.schott.com/optics_devices/english/download/tie-37_thermal_expansion_of_zerodur_us.pdf" TargetMode="External"/><Relationship Id="rId28" Type="http://schemas.openxmlformats.org/officeDocument/2006/relationships/hyperlink" Target="http://www.berylliumproducts.com/web/bpdweb.nsf/AllDocsByID/8D86FFC3AC93EBD985256F26004C8B7E/$File/AlBeMet+Properties+Catalog.pps" TargetMode="External"/><Relationship Id="rId10" Type="http://schemas.openxmlformats.org/officeDocument/2006/relationships/hyperlink" Target="http://www.berylliumproducts.com/web/bpdweb.nsf/LITLOOKUP/CEA11061707CE94785256A39005E047D" TargetMode="External"/><Relationship Id="rId19" Type="http://schemas.openxmlformats.org/officeDocument/2006/relationships/hyperlink" Target="https://cindasdata.com/" TargetMode="External"/><Relationship Id="rId4" Type="http://schemas.openxmlformats.org/officeDocument/2006/relationships/hyperlink" Target="http://snap.lbl.gov/bscw/bscw.cgi/d64154/Coefficients%20of%20Linear%20Expansion" TargetMode="External"/><Relationship Id="rId9" Type="http://schemas.openxmlformats.org/officeDocument/2006/relationships/hyperlink" Target="http://snap.lbl.gov/bscw/bscw.cgi/d127917/Emmet%20glue%20data.pdf" TargetMode="External"/><Relationship Id="rId14" Type="http://schemas.openxmlformats.org/officeDocument/2006/relationships/hyperlink" Target="http://snap.lbl.gov/bscw/bscw.cgi/d64154/Coefficients%20of%20Linear%20Expansion" TargetMode="External"/><Relationship Id="rId22" Type="http://schemas.openxmlformats.org/officeDocument/2006/relationships/hyperlink" Target="http://www.us.schott.com/optics_devices/english/download/tie-37_thermal_expansion_of_zerodur_us.pdf" TargetMode="External"/><Relationship Id="rId27" Type="http://schemas.openxmlformats.org/officeDocument/2006/relationships/hyperlink" Target="http://www.cesic.de/prospekte/cesic_mf_data_en.pdf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cindasdata.com/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http://cryogenics.nist.gov/NewFiles/material_properties.html" TargetMode="External"/><Relationship Id="rId7" Type="http://schemas.openxmlformats.org/officeDocument/2006/relationships/hyperlink" Target="http://cryogenics.nist.gov/NewFiles/material_properties.html" TargetMode="External"/><Relationship Id="rId12" Type="http://schemas.openxmlformats.org/officeDocument/2006/relationships/hyperlink" Target="http://www.berylliumproducts.com/web/bpdweb.nsf/AllDocsByID/8D86FFC3AC93EBD985256F26004C8B7E/$File/AlBeMet+Properties+Catalog.pps" TargetMode="External"/><Relationship Id="rId2" Type="http://schemas.openxmlformats.org/officeDocument/2006/relationships/hyperlink" Target="http://snap.lbl.gov/bscw/bscw.cgi/d64154/Coefficients%20of%20Linear%20Expansion" TargetMode="External"/><Relationship Id="rId1" Type="http://schemas.openxmlformats.org/officeDocument/2006/relationships/hyperlink" Target="http://snap.lbl.gov/bscw/bscw.cgi/d64154/Coefficients%20of%20Linear%20Expansion" TargetMode="External"/><Relationship Id="rId6" Type="http://schemas.openxmlformats.org/officeDocument/2006/relationships/hyperlink" Target="http://snap.lbl.gov/bscw/bscw.cgi/d64154/Coefficients%20of%20Linear%20Expansion" TargetMode="External"/><Relationship Id="rId11" Type="http://schemas.openxmlformats.org/officeDocument/2006/relationships/hyperlink" Target="https://cindasdata.com/" TargetMode="External"/><Relationship Id="rId5" Type="http://schemas.openxmlformats.org/officeDocument/2006/relationships/hyperlink" Target="http://snap.lbl.gov/bscw/bscw.cgi/d128689/Hysol%20EA_9361%20data" TargetMode="External"/><Relationship Id="rId10" Type="http://schemas.openxmlformats.org/officeDocument/2006/relationships/hyperlink" Target="http://snap.lbl.gov/bscw/bscw.cgi/d250593/fermilab-tm-2366-a.pdf" TargetMode="External"/><Relationship Id="rId4" Type="http://schemas.openxmlformats.org/officeDocument/2006/relationships/hyperlink" Target="http://cryogenics.nist.gov/NewFiles/Cryo_materials.html" TargetMode="External"/><Relationship Id="rId9" Type="http://schemas.openxmlformats.org/officeDocument/2006/relationships/hyperlink" Target="http://www.cesic.de/prospekte/cesic_mf_data_en.pdf" TargetMode="External"/><Relationship Id="rId14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indasdata.com/" TargetMode="External"/><Relationship Id="rId13" Type="http://schemas.openxmlformats.org/officeDocument/2006/relationships/hyperlink" Target="https://cindasdata.com/" TargetMode="External"/><Relationship Id="rId18" Type="http://schemas.openxmlformats.org/officeDocument/2006/relationships/printerSettings" Target="../printerSettings/printerSettings9.bin"/><Relationship Id="rId3" Type="http://schemas.openxmlformats.org/officeDocument/2006/relationships/hyperlink" Target="http://cryogenics.nist.gov/NewFiles/Cryo_materials.html" TargetMode="External"/><Relationship Id="rId7" Type="http://schemas.openxmlformats.org/officeDocument/2006/relationships/hyperlink" Target="http://snap.lbl.gov/bscw/bscw.cgi/d135741/POCO-Cryo%20TC.xls" TargetMode="External"/><Relationship Id="rId12" Type="http://schemas.openxmlformats.org/officeDocument/2006/relationships/hyperlink" Target="https://cindasdata.com/" TargetMode="External"/><Relationship Id="rId17" Type="http://schemas.openxmlformats.org/officeDocument/2006/relationships/hyperlink" Target="http://www.cesic.de/prospekte/cesic_mf_data_en.pdf" TargetMode="External"/><Relationship Id="rId2" Type="http://schemas.openxmlformats.org/officeDocument/2006/relationships/hyperlink" Target="http://www.rohmhaas.com/cvdmaterials/CVD_Sil_Carbide/TempDpdt_Prop.html" TargetMode="External"/><Relationship Id="rId16" Type="http://schemas.openxmlformats.org/officeDocument/2006/relationships/hyperlink" Target="https://cindasdata.com/" TargetMode="External"/><Relationship Id="rId1" Type="http://schemas.openxmlformats.org/officeDocument/2006/relationships/hyperlink" Target="http://cryogenics.nist.gov/NewFiles/material_properties.html" TargetMode="External"/><Relationship Id="rId6" Type="http://schemas.openxmlformats.org/officeDocument/2006/relationships/hyperlink" Target="http://snap.lbl.gov/bscw/bscw.cgi/d135741/POCO-Cryo%20TC.xls" TargetMode="External"/><Relationship Id="rId11" Type="http://schemas.openxmlformats.org/officeDocument/2006/relationships/hyperlink" Target="https://cindasdata.com/" TargetMode="External"/><Relationship Id="rId5" Type="http://schemas.openxmlformats.org/officeDocument/2006/relationships/hyperlink" Target="http://snap.lbl.gov/bscw/bscw.cgi/d136917/SSG%20SiC%20Overview%20SNAP.pdf" TargetMode="External"/><Relationship Id="rId15" Type="http://schemas.openxmlformats.org/officeDocument/2006/relationships/hyperlink" Target="https://cindasdata.com/" TargetMode="External"/><Relationship Id="rId10" Type="http://schemas.openxmlformats.org/officeDocument/2006/relationships/hyperlink" Target="https://cindasdata.com/" TargetMode="External"/><Relationship Id="rId4" Type="http://schemas.openxmlformats.org/officeDocument/2006/relationships/hyperlink" Target="http://snap.lbl.gov/bscw/bscw.cgi/d128689/Hysol%20EA_9361%20data" TargetMode="External"/><Relationship Id="rId9" Type="http://schemas.openxmlformats.org/officeDocument/2006/relationships/hyperlink" Target="https://cindasdata.com/" TargetMode="External"/><Relationship Id="rId14" Type="http://schemas.openxmlformats.org/officeDocument/2006/relationships/hyperlink" Target="https://cindasdata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cindasdata.com/" TargetMode="External"/><Relationship Id="rId2" Type="http://schemas.openxmlformats.org/officeDocument/2006/relationships/hyperlink" Target="http://snap.lbl.gov/bscw/bscw.cgi/d127917/Emmet%20glue%20data.pdf" TargetMode="External"/><Relationship Id="rId1" Type="http://schemas.openxmlformats.org/officeDocument/2006/relationships/hyperlink" Target="http://snap.lbl.gov/bscw/bscw.cgi/d127917/Emmet%20glue%20data.pdf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://snap.lbl.gov/bscw/bscw.cgi/d250593/fermilab-tm-2366-a.pdf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cindasdata.com/" TargetMode="External"/><Relationship Id="rId7" Type="http://schemas.openxmlformats.org/officeDocument/2006/relationships/printerSettings" Target="../printerSettings/printerSettings11.bin"/><Relationship Id="rId2" Type="http://schemas.openxmlformats.org/officeDocument/2006/relationships/hyperlink" Target="https://cindasdata.com/" TargetMode="External"/><Relationship Id="rId1" Type="http://schemas.openxmlformats.org/officeDocument/2006/relationships/hyperlink" Target="http://snap.lbl.gov/bscw/bscw.cgi/d128689/Hysol%20EA_9361%20data" TargetMode="External"/><Relationship Id="rId6" Type="http://schemas.openxmlformats.org/officeDocument/2006/relationships/hyperlink" Target="http://snap.lbl.gov/bscw/bscw.cgi/d250593/fermilab-tm-2366-a.pdf" TargetMode="External"/><Relationship Id="rId5" Type="http://schemas.openxmlformats.org/officeDocument/2006/relationships/hyperlink" Target="http://www.cesic.de/prospekte/cesic_mf_data_en.pdf" TargetMode="External"/><Relationship Id="rId4" Type="http://schemas.openxmlformats.org/officeDocument/2006/relationships/hyperlink" Target="https://cindasdata.com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snap.lbl.gov/bscw/bscw.cgi/d250593/fermilab-tm-2366-a.pdf" TargetMode="External"/><Relationship Id="rId2" Type="http://schemas.openxmlformats.org/officeDocument/2006/relationships/hyperlink" Target="https://cindasdata.com/" TargetMode="External"/><Relationship Id="rId1" Type="http://schemas.openxmlformats.org/officeDocument/2006/relationships/hyperlink" Target="https://cindasdata.com/" TargetMode="Externa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matweb.com/search/SpecificMaterial.asp?bassnum=DSEM87" TargetMode="External"/><Relationship Id="rId18" Type="http://schemas.openxmlformats.org/officeDocument/2006/relationships/hyperlink" Target="http://www.goodfellow.com/csp/active/gfMaterialInfo.csp?text=*C&amp;MATID=CU04&amp;material=1" TargetMode="External"/><Relationship Id="rId26" Type="http://schemas.openxmlformats.org/officeDocument/2006/relationships/hyperlink" Target="http://www.matweb.com/search/SpecificMaterial.asp?bassnum=MCUACV01" TargetMode="External"/><Relationship Id="rId39" Type="http://schemas.openxmlformats.org/officeDocument/2006/relationships/hyperlink" Target="http://www.matweb.com/search/SpecificMaterial.asp?bassnum=NINC34" TargetMode="External"/><Relationship Id="rId21" Type="http://schemas.openxmlformats.org/officeDocument/2006/relationships/hyperlink" Target="http://www.matweb.com/search/SpecificMaterial.asp?bassnum=MCUDAL03" TargetMode="External"/><Relationship Id="rId34" Type="http://schemas.openxmlformats.org/officeDocument/2006/relationships/hyperlink" Target="http://www.matweb.com/search/SpecificMaterial.asp?bassnum=MMAZ36" TargetMode="External"/><Relationship Id="rId42" Type="http://schemas.openxmlformats.org/officeDocument/2006/relationships/hyperlink" Target="http://www.matweb.com/search/SpecificMaterial.asp?bassnum=PGE982" TargetMode="External"/><Relationship Id="rId47" Type="http://schemas.openxmlformats.org/officeDocument/2006/relationships/hyperlink" Target="http://www.matweb.com/search/SpecificMaterial.asp?bassnum=O1902" TargetMode="External"/><Relationship Id="rId50" Type="http://schemas.openxmlformats.org/officeDocument/2006/relationships/hyperlink" Target="http://www.techapps.com/GFTS%20info%20paper072104.pdf" TargetMode="External"/><Relationship Id="rId55" Type="http://schemas.openxmlformats.org/officeDocument/2006/relationships/hyperlink" Target="http://www.poco.com/us/SiliconCarbide/properties.asp" TargetMode="External"/><Relationship Id="rId63" Type="http://schemas.openxmlformats.org/officeDocument/2006/relationships/hyperlink" Target="http://www.berylliumproducts.com/web/bpdweb.nsf/LITLOOKUP/4A44FB211BF77D3B85256A39005DF9A3" TargetMode="External"/><Relationship Id="rId68" Type="http://schemas.openxmlformats.org/officeDocument/2006/relationships/hyperlink" Target="http://snap.lbl.gov/bscw/bscw.cgi/d135424/IBCOL-SCI-2004.pdf" TargetMode="External"/><Relationship Id="rId76" Type="http://schemas.openxmlformats.org/officeDocument/2006/relationships/hyperlink" Target="http://www.matweb.com/search/SpecificMaterial.asp?bassnum=MA6063T5" TargetMode="External"/><Relationship Id="rId84" Type="http://schemas.openxmlformats.org/officeDocument/2006/relationships/printerSettings" Target="../printerSettings/printerSettings13.bin"/><Relationship Id="rId7" Type="http://schemas.openxmlformats.org/officeDocument/2006/relationships/hyperlink" Target="http://www.matweb.com/search/SpecificMaterial.asp?bassnum=O2120" TargetMode="External"/><Relationship Id="rId71" Type="http://schemas.openxmlformats.org/officeDocument/2006/relationships/hyperlink" Target="http://snap.lbl.gov/bscw/bscw.cgi/d135741/POCO-Cryo%20TC.xls" TargetMode="External"/><Relationship Id="rId2" Type="http://schemas.openxmlformats.org/officeDocument/2006/relationships/hyperlink" Target="http://www.matweb.com/search/SpecificMaterial.asp?bassnum=MTP641" TargetMode="External"/><Relationship Id="rId16" Type="http://schemas.openxmlformats.org/officeDocument/2006/relationships/hyperlink" Target="http://www.matweb.com/search/SpecificMaterial.asp?bassnum=MBEO30" TargetMode="External"/><Relationship Id="rId29" Type="http://schemas.openxmlformats.org/officeDocument/2006/relationships/hyperlink" Target="http://www.matweb.com/search/SpecificMaterial.asp?bassnum=MEGe00" TargetMode="External"/><Relationship Id="rId11" Type="http://schemas.openxmlformats.org/officeDocument/2006/relationships/hyperlink" Target="http://www.matweb.com/search/SpecificMaterial.asp?bassnum=C5MT04" TargetMode="External"/><Relationship Id="rId24" Type="http://schemas.openxmlformats.org/officeDocument/2006/relationships/hyperlink" Target="http://www.matweb.com/search/SpecificMaterial.asp?bassnum=MCUABP01" TargetMode="External"/><Relationship Id="rId32" Type="http://schemas.openxmlformats.org/officeDocument/2006/relationships/hyperlink" Target="http://www.matweb.com/search/SpecificMaterial.asp?bassnum=PDUK04" TargetMode="External"/><Relationship Id="rId37" Type="http://schemas.openxmlformats.org/officeDocument/2006/relationships/hyperlink" Target="http://www.matweb.com/search/SpecificMaterial.asp?bassnum=CMYKROY00" TargetMode="External"/><Relationship Id="rId40" Type="http://schemas.openxmlformats.org/officeDocument/2006/relationships/hyperlink" Target="http://www.matweb.com/search/SpecificMaterial.asp?bassnum=PGE979" TargetMode="External"/><Relationship Id="rId45" Type="http://schemas.openxmlformats.org/officeDocument/2006/relationships/hyperlink" Target="http://www.matweb.com/search/SpecificMaterial.asp?bassnum=METa01" TargetMode="External"/><Relationship Id="rId53" Type="http://schemas.openxmlformats.org/officeDocument/2006/relationships/hyperlink" Target="http://cryogenics.nist.gov/NewFiles/material_properties.html" TargetMode="External"/><Relationship Id="rId58" Type="http://schemas.openxmlformats.org/officeDocument/2006/relationships/hyperlink" Target="http://www.rohmhaas.com/cvdmaterials/CVD_Sil_Carbide/Prop_TypValue.html" TargetMode="External"/><Relationship Id="rId66" Type="http://schemas.openxmlformats.org/officeDocument/2006/relationships/hyperlink" Target="http://www.efunda.com/materials/elements/TC_Table.cfm?Element_ID=Mg" TargetMode="External"/><Relationship Id="rId74" Type="http://schemas.openxmlformats.org/officeDocument/2006/relationships/hyperlink" Target="https://cindasdata.com/" TargetMode="External"/><Relationship Id="rId79" Type="http://schemas.openxmlformats.org/officeDocument/2006/relationships/hyperlink" Target="http://www.cmwinc.com/metals/metalsframe.html" TargetMode="External"/><Relationship Id="rId5" Type="http://schemas.openxmlformats.org/officeDocument/2006/relationships/hyperlink" Target="http://www.matweb.com/search/SpecificMaterial.asp?bassnum=NCALZ21" TargetMode="External"/><Relationship Id="rId61" Type="http://schemas.openxmlformats.org/officeDocument/2006/relationships/hyperlink" Target="http://snap.lbl.gov/bscw/bscw.cgi/d128689/Hysol%20EA_9361%20data" TargetMode="External"/><Relationship Id="rId82" Type="http://schemas.openxmlformats.org/officeDocument/2006/relationships/hyperlink" Target="http://www.berylliumproducts.com/web/bpdweb.nsf/AllDocsByID/8D86FFC3AC93EBD985256F26004C8B7E/$File/AlBeMet+Properties+Catalog.pps" TargetMode="External"/><Relationship Id="rId19" Type="http://schemas.openxmlformats.org/officeDocument/2006/relationships/hyperlink" Target="http://www.matweb.com/search/SpecificMaterial.asp?bassnum=MTC00" TargetMode="External"/><Relationship Id="rId4" Type="http://schemas.openxmlformats.org/officeDocument/2006/relationships/hyperlink" Target="http://www.matweb.com/search/SpecificMaterial.asp?bassnum=PGLAM04" TargetMode="External"/><Relationship Id="rId9" Type="http://schemas.openxmlformats.org/officeDocument/2006/relationships/hyperlink" Target="http://www.matweb.com/search/SpecificMaterial.asp?bassnum=NELG00" TargetMode="External"/><Relationship Id="rId14" Type="http://schemas.openxmlformats.org/officeDocument/2006/relationships/hyperlink" Target="http://www.matweb.com/search/SpecificMaterial.asp?bassnum=Q440CA" TargetMode="External"/><Relationship Id="rId22" Type="http://schemas.openxmlformats.org/officeDocument/2006/relationships/hyperlink" Target="http://www.matweb.com/search/SpecificMaterial.asp?bassnum=BBeOA" TargetMode="External"/><Relationship Id="rId27" Type="http://schemas.openxmlformats.org/officeDocument/2006/relationships/hyperlink" Target="http://www.matweb.com/search/SpecificMaterial.asp?bassnum=MCUACW01" TargetMode="External"/><Relationship Id="rId30" Type="http://schemas.openxmlformats.org/officeDocument/2006/relationships/hyperlink" Target="http://www.matweb.com/search/SpecificMaterial.asp?bassnum=BQUARTZ" TargetMode="External"/><Relationship Id="rId35" Type="http://schemas.openxmlformats.org/officeDocument/2006/relationships/hyperlink" Target="http://www.matweb.com/search/SpecificMaterial.asp?bassnum=MEMo01" TargetMode="External"/><Relationship Id="rId43" Type="http://schemas.openxmlformats.org/officeDocument/2006/relationships/hyperlink" Target="http://www.matweb.com/search/SpecificMaterial.asp?bassnum=PGE978" TargetMode="External"/><Relationship Id="rId48" Type="http://schemas.openxmlformats.org/officeDocument/2006/relationships/hyperlink" Target="http://www.matweb.com/search/SpecificMaterial.asp?bassnum=MEW000" TargetMode="External"/><Relationship Id="rId56" Type="http://schemas.openxmlformats.org/officeDocument/2006/relationships/hyperlink" Target="http://www.coorstek.com/resources/8510-1024sicmfgsemi.pdf" TargetMode="External"/><Relationship Id="rId64" Type="http://schemas.openxmlformats.org/officeDocument/2006/relationships/hyperlink" Target="http://www.berylliumproducts.com/web/bpdweb.nsf/LITLOOKUP/CEA11061707CE94785256A39005E047D" TargetMode="External"/><Relationship Id="rId69" Type="http://schemas.openxmlformats.org/officeDocument/2006/relationships/hyperlink" Target="http://snap.lbl.gov/bscw/bscw.cgi/d135735/POCO-Cryo%20CTE.xls" TargetMode="External"/><Relationship Id="rId77" Type="http://schemas.openxmlformats.org/officeDocument/2006/relationships/hyperlink" Target="http://www.cesic.de/prospekte/cesic_mf_data_en.pdf" TargetMode="External"/><Relationship Id="rId8" Type="http://schemas.openxmlformats.org/officeDocument/2006/relationships/hyperlink" Target="http://www.matweb.com/search/SpecificMaterial.asp?bassnum=O2130" TargetMode="External"/><Relationship Id="rId51" Type="http://schemas.openxmlformats.org/officeDocument/2006/relationships/hyperlink" Target="http://optics.nasa.gov/tech_days/tech_days_2002/docs/31XineticsLargeLowTemperatureSiliconCarbideMirrors.pdf" TargetMode="External"/><Relationship Id="rId72" Type="http://schemas.openxmlformats.org/officeDocument/2006/relationships/hyperlink" Target="http://snap.lbl.gov/bscw/bscw.cgi/d135954/SNAP%20presentation%206-22-05.pps" TargetMode="External"/><Relationship Id="rId80" Type="http://schemas.openxmlformats.org/officeDocument/2006/relationships/hyperlink" Target="http://www.matweb.com/search/SpecificMaterial.asp?bassnum=NCMW39" TargetMode="External"/><Relationship Id="rId85" Type="http://schemas.openxmlformats.org/officeDocument/2006/relationships/drawing" Target="../drawings/drawing4.xml"/><Relationship Id="rId3" Type="http://schemas.openxmlformats.org/officeDocument/2006/relationships/hyperlink" Target="http://www.matweb.com/search/SpecificMaterial.asp?bassnum=P1SM51" TargetMode="External"/><Relationship Id="rId12" Type="http://schemas.openxmlformats.org/officeDocument/2006/relationships/hyperlink" Target="http://www.matweb.com/search/SpecificMaterial.asp?bassnum=MESi00" TargetMode="External"/><Relationship Id="rId17" Type="http://schemas.openxmlformats.org/officeDocument/2006/relationships/hyperlink" Target="http://www.matweb.com/search/SpecificMaterial.asp?bassnum=MA1100O" TargetMode="External"/><Relationship Id="rId25" Type="http://schemas.openxmlformats.org/officeDocument/2006/relationships/hyperlink" Target="http://www.matweb.com/search/SpecificMaterial.asp?bassnum=MCUABS01" TargetMode="External"/><Relationship Id="rId33" Type="http://schemas.openxmlformats.org/officeDocument/2006/relationships/hyperlink" Target="http://www.matweb.com/search/SpecificMaterial.asp?bassnum=NCAR60" TargetMode="External"/><Relationship Id="rId38" Type="http://schemas.openxmlformats.org/officeDocument/2006/relationships/hyperlink" Target="http://www.matweb.com/search/SpecificMaterial.asp?bassnum=NINC10" TargetMode="External"/><Relationship Id="rId46" Type="http://schemas.openxmlformats.org/officeDocument/2006/relationships/hyperlink" Target="http://www.matweb.com/search/SpecificMaterial.asp?bassnum=PDU923" TargetMode="External"/><Relationship Id="rId59" Type="http://schemas.openxmlformats.org/officeDocument/2006/relationships/hyperlink" Target="http://www.rohmhaas.com/cvdmaterials/CVD_Sil_Carbide/TempDpdt_Prop.html" TargetMode="External"/><Relationship Id="rId67" Type="http://schemas.openxmlformats.org/officeDocument/2006/relationships/hyperlink" Target="http://snap.lbl.gov/bscw/bscw.cgi/d136917/SSG%20SiC%20Overview%20SNAP.pdf" TargetMode="External"/><Relationship Id="rId20" Type="http://schemas.openxmlformats.org/officeDocument/2006/relationships/hyperlink" Target="http://www.matweb.com/search/SpecificMaterial.asp?bassnum=MCUABA00" TargetMode="External"/><Relationship Id="rId41" Type="http://schemas.openxmlformats.org/officeDocument/2006/relationships/hyperlink" Target="http://www.matweb.com/search/SpecificMaterial.asp?bassnum=PGE977" TargetMode="External"/><Relationship Id="rId54" Type="http://schemas.openxmlformats.org/officeDocument/2006/relationships/hyperlink" Target="http://www.matweb.com/search/SpecificMaterial.asp?bassnum=Q660AC" TargetMode="External"/><Relationship Id="rId62" Type="http://schemas.openxmlformats.org/officeDocument/2006/relationships/hyperlink" Target="http://snap.lbl.gov/bscw/bscw.cgi/d127917/Emmet%20glue%20data.pdf" TargetMode="External"/><Relationship Id="rId70" Type="http://schemas.openxmlformats.org/officeDocument/2006/relationships/hyperlink" Target="http://snap.lbl.gov/bscw/bscw.cgi/d135747/POCO-Property%20Table%20for%20SuperSiC%20Rev.doc" TargetMode="External"/><Relationship Id="rId75" Type="http://schemas.openxmlformats.org/officeDocument/2006/relationships/hyperlink" Target="http://www.us.schott.com/optics_devices/english/download/tie-37_thermal_expansion_of_zerodur_us.pdf" TargetMode="External"/><Relationship Id="rId83" Type="http://schemas.openxmlformats.org/officeDocument/2006/relationships/hyperlink" Target="http://www.corning.com/docs/specialtymaterials/pisheets/H0607_hpfs_Standard_ProductSheet.pdf" TargetMode="External"/><Relationship Id="rId1" Type="http://schemas.openxmlformats.org/officeDocument/2006/relationships/hyperlink" Target="http://www.matweb.com/search/SpecificMaterial.asp?bassnum=P1SM50" TargetMode="External"/><Relationship Id="rId6" Type="http://schemas.openxmlformats.org/officeDocument/2006/relationships/hyperlink" Target="http://www.goodfellow.com/csp/active/gfMaterialInfo.csp?text=*M&amp;MATID=CU06&amp;material=1" TargetMode="External"/><Relationship Id="rId15" Type="http://schemas.openxmlformats.org/officeDocument/2006/relationships/hyperlink" Target="http://www.matweb.com/search/SpecificMaterial.asp?bassnum=MA6061T6" TargetMode="External"/><Relationship Id="rId23" Type="http://schemas.openxmlformats.org/officeDocument/2006/relationships/hyperlink" Target="http://www.matweb.com/search/SpecificMaterial.asp?bassnum=MC102B" TargetMode="External"/><Relationship Id="rId28" Type="http://schemas.openxmlformats.org/officeDocument/2006/relationships/hyperlink" Target="http://www.matweb.com/search/SpecificMaterial.asp?bassnum=P1SM03" TargetMode="External"/><Relationship Id="rId36" Type="http://schemas.openxmlformats.org/officeDocument/2006/relationships/hyperlink" Target="http://www.matweb.com/search/SpecificMaterial.asp?bassnum=MRMo20" TargetMode="External"/><Relationship Id="rId49" Type="http://schemas.openxmlformats.org/officeDocument/2006/relationships/hyperlink" Target="http://www.k-technology.com/Graphite.htm" TargetMode="External"/><Relationship Id="rId57" Type="http://schemas.openxmlformats.org/officeDocument/2006/relationships/hyperlink" Target="http://www.boostec.com/SiCTypicalCharacteristics.pdf" TargetMode="External"/><Relationship Id="rId10" Type="http://schemas.openxmlformats.org/officeDocument/2006/relationships/hyperlink" Target="http://www.corning.com/semiconductoroptics/pdf/ule_2_page_spec_sheets.pdf" TargetMode="External"/><Relationship Id="rId31" Type="http://schemas.openxmlformats.org/officeDocument/2006/relationships/hyperlink" Target="http://www.matweb.com/search/SpecificMaterial.asp?bassnum=NCAR02" TargetMode="External"/><Relationship Id="rId44" Type="http://schemas.openxmlformats.org/officeDocument/2006/relationships/hyperlink" Target="http://www.matweb.com/search/SpecificMaterial.asp?bassnum=Q304A" TargetMode="External"/><Relationship Id="rId52" Type="http://schemas.openxmlformats.org/officeDocument/2006/relationships/hyperlink" Target="http://snap.lbl.gov/bscw/bscw.cgi/d64154/Coefficients%20of%20Linear%20Expansion" TargetMode="External"/><Relationship Id="rId60" Type="http://schemas.openxmlformats.org/officeDocument/2006/relationships/hyperlink" Target="http://cryogenics.nist.gov/NewFiles/Cryo_materials.html" TargetMode="External"/><Relationship Id="rId65" Type="http://schemas.openxmlformats.org/officeDocument/2006/relationships/hyperlink" Target="http://www.xinetics.com/sic_material.html" TargetMode="External"/><Relationship Id="rId73" Type="http://schemas.openxmlformats.org/officeDocument/2006/relationships/hyperlink" Target="http://www.us.schott.com/optics_devices/english/products/zerodur/index.html" TargetMode="External"/><Relationship Id="rId78" Type="http://schemas.openxmlformats.org/officeDocument/2006/relationships/hyperlink" Target="http://snap.lbl.gov/bscw/bscw.cgi/d250593/fermilab-tm-2366-a.pdf" TargetMode="External"/><Relationship Id="rId81" Type="http://schemas.openxmlformats.org/officeDocument/2006/relationships/hyperlink" Target="http://spiedl.aip.org/getpdf/servlet/GetPDFServlet?filetype=pdf&amp;id=PSISDG004771000001000222000001&amp;idtype=cvips&amp;prog=normalSPIE%20Vol%204771%20page%20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>
      <selection activeCell="V23" sqref="V23"/>
    </sheetView>
  </sheetViews>
  <sheetFormatPr defaultRowHeight="12.75"/>
  <cols>
    <col min="1" max="13" width="2.7109375" customWidth="1"/>
    <col min="14" max="14" width="30.7109375" customWidth="1"/>
    <col min="15" max="20" width="5.7109375" customWidth="1"/>
    <col min="21" max="21" width="5.5703125" customWidth="1"/>
    <col min="22" max="22" width="10.85546875" customWidth="1"/>
  </cols>
  <sheetData>
    <row r="1" spans="1:22" ht="35.25">
      <c r="U1" s="16" t="s">
        <v>720</v>
      </c>
      <c r="V1" s="74" t="s">
        <v>719</v>
      </c>
    </row>
    <row r="2" spans="1:22">
      <c r="V2" s="16"/>
    </row>
    <row r="3" spans="1:22">
      <c r="V3" s="16"/>
    </row>
    <row r="4" spans="1:22" ht="25.5">
      <c r="A4" s="17"/>
      <c r="B4" s="17" t="s">
        <v>718</v>
      </c>
    </row>
    <row r="5" spans="1:22">
      <c r="A5" s="18"/>
      <c r="B5" s="18"/>
    </row>
    <row r="6" spans="1:22">
      <c r="A6" s="18"/>
      <c r="B6" s="18"/>
      <c r="U6" s="19" t="s">
        <v>81</v>
      </c>
      <c r="V6" s="19" t="s">
        <v>335</v>
      </c>
    </row>
    <row r="7" spans="1:22">
      <c r="A7" s="18"/>
      <c r="B7" s="18"/>
      <c r="U7" s="19" t="s">
        <v>82</v>
      </c>
      <c r="V7" s="19" t="s">
        <v>335</v>
      </c>
    </row>
    <row r="8" spans="1:22">
      <c r="A8" s="18"/>
      <c r="B8" s="18"/>
      <c r="U8" s="19" t="s">
        <v>83</v>
      </c>
      <c r="V8" s="61" t="s">
        <v>277</v>
      </c>
    </row>
    <row r="9" spans="1:22">
      <c r="A9" s="18"/>
      <c r="B9" s="18"/>
      <c r="U9" s="19" t="s">
        <v>84</v>
      </c>
      <c r="V9" s="20"/>
    </row>
    <row r="10" spans="1:22">
      <c r="A10" s="18"/>
      <c r="B10" s="18"/>
      <c r="U10" s="19" t="s">
        <v>85</v>
      </c>
      <c r="V10" s="20"/>
    </row>
    <row r="11" spans="1:22" ht="13.5" thickBot="1">
      <c r="A11" s="82"/>
      <c r="B11" s="18" t="s">
        <v>86</v>
      </c>
    </row>
    <row r="12" spans="1:22">
      <c r="A12" s="82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 t="s">
        <v>87</v>
      </c>
      <c r="R12" s="25"/>
      <c r="S12" s="24" t="s">
        <v>88</v>
      </c>
      <c r="T12" s="25"/>
      <c r="U12" s="24"/>
      <c r="V12" s="26"/>
    </row>
    <row r="13" spans="1:22" ht="13.5" thickBot="1">
      <c r="A13" s="82"/>
      <c r="B13" s="27" t="s">
        <v>89</v>
      </c>
      <c r="C13" s="28"/>
      <c r="D13" s="29" t="s">
        <v>90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30" t="s">
        <v>91</v>
      </c>
      <c r="R13" s="31" t="s">
        <v>92</v>
      </c>
      <c r="S13" s="30" t="s">
        <v>93</v>
      </c>
      <c r="T13" s="31" t="s">
        <v>94</v>
      </c>
      <c r="U13" s="30" t="s">
        <v>95</v>
      </c>
      <c r="V13" s="32" t="s">
        <v>96</v>
      </c>
    </row>
    <row r="14" spans="1:22">
      <c r="A14" s="81"/>
      <c r="B14" s="33" t="s">
        <v>97</v>
      </c>
      <c r="C14" s="34"/>
      <c r="D14" s="60" t="s">
        <v>278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211" t="s">
        <v>274</v>
      </c>
      <c r="R14" s="212" t="s">
        <v>275</v>
      </c>
      <c r="S14" s="211"/>
      <c r="T14" s="212"/>
      <c r="U14" s="211" t="s">
        <v>275</v>
      </c>
      <c r="V14" s="215" t="s">
        <v>276</v>
      </c>
    </row>
    <row r="15" spans="1:22">
      <c r="A15" s="81"/>
      <c r="B15" s="80" t="s">
        <v>295</v>
      </c>
      <c r="C15" s="37"/>
      <c r="D15" s="38" t="s">
        <v>296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213" t="s">
        <v>274</v>
      </c>
      <c r="R15" s="214" t="s">
        <v>275</v>
      </c>
      <c r="S15" s="213"/>
      <c r="T15" s="214"/>
      <c r="U15" s="213" t="s">
        <v>274</v>
      </c>
      <c r="V15" s="216" t="s">
        <v>336</v>
      </c>
    </row>
    <row r="16" spans="1:22" ht="41.25" customHeight="1">
      <c r="A16" s="82"/>
      <c r="B16" s="104" t="s">
        <v>373</v>
      </c>
      <c r="C16" s="103"/>
      <c r="D16" s="240" t="s">
        <v>506</v>
      </c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2"/>
      <c r="Q16" s="211" t="s">
        <v>274</v>
      </c>
      <c r="R16" s="212" t="s">
        <v>275</v>
      </c>
      <c r="S16" s="211"/>
      <c r="T16" s="212"/>
      <c r="U16" s="211" t="s">
        <v>274</v>
      </c>
      <c r="V16" s="216" t="s">
        <v>516</v>
      </c>
    </row>
    <row r="17" spans="1:22">
      <c r="A17" s="82"/>
      <c r="B17" s="80" t="s">
        <v>536</v>
      </c>
      <c r="C17" s="37"/>
      <c r="D17" s="243" t="s">
        <v>543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5"/>
      <c r="Q17" s="213" t="s">
        <v>274</v>
      </c>
      <c r="R17" s="214" t="s">
        <v>275</v>
      </c>
      <c r="S17" s="213"/>
      <c r="T17" s="214"/>
      <c r="U17" s="213" t="s">
        <v>274</v>
      </c>
      <c r="V17" s="217" t="s">
        <v>544</v>
      </c>
    </row>
    <row r="18" spans="1:22">
      <c r="A18" s="82"/>
      <c r="B18" s="33" t="s">
        <v>551</v>
      </c>
      <c r="C18" s="34"/>
      <c r="D18" s="85" t="s">
        <v>577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211" t="s">
        <v>274</v>
      </c>
      <c r="R18" s="212" t="s">
        <v>275</v>
      </c>
      <c r="S18" s="211"/>
      <c r="T18" s="212"/>
      <c r="U18" s="211" t="s">
        <v>274</v>
      </c>
      <c r="V18" s="218">
        <v>38547</v>
      </c>
    </row>
    <row r="19" spans="1:22">
      <c r="A19" s="82"/>
      <c r="B19" s="80" t="s">
        <v>581</v>
      </c>
      <c r="C19" s="37"/>
      <c r="D19" s="38" t="s">
        <v>582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213" t="s">
        <v>274</v>
      </c>
      <c r="R19" s="214" t="s">
        <v>275</v>
      </c>
      <c r="S19" s="213"/>
      <c r="T19" s="214"/>
      <c r="U19" s="213" t="s">
        <v>275</v>
      </c>
      <c r="V19" s="219">
        <v>38631</v>
      </c>
    </row>
    <row r="20" spans="1:22" ht="25.5" customHeight="1">
      <c r="A20" s="82"/>
      <c r="B20" s="104" t="s">
        <v>595</v>
      </c>
      <c r="C20" s="34"/>
      <c r="D20" s="246" t="s">
        <v>654</v>
      </c>
      <c r="E20" s="24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8"/>
      <c r="Q20" s="211" t="s">
        <v>274</v>
      </c>
      <c r="R20" s="212"/>
      <c r="S20" s="211"/>
      <c r="T20" s="212"/>
      <c r="U20" s="211" t="s">
        <v>274</v>
      </c>
      <c r="V20" s="220">
        <v>38944</v>
      </c>
    </row>
    <row r="21" spans="1:22" ht="38.25" customHeight="1">
      <c r="A21" s="82"/>
      <c r="B21" s="210" t="s">
        <v>656</v>
      </c>
      <c r="C21" s="37"/>
      <c r="D21" s="249" t="s">
        <v>675</v>
      </c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1"/>
      <c r="Q21" s="213" t="s">
        <v>274</v>
      </c>
      <c r="R21" s="214"/>
      <c r="S21" s="213"/>
      <c r="T21" s="214"/>
      <c r="U21" s="213" t="s">
        <v>274</v>
      </c>
      <c r="V21" s="221">
        <v>39155</v>
      </c>
    </row>
    <row r="22" spans="1:22" ht="39.75" customHeight="1">
      <c r="A22" s="82"/>
      <c r="B22" s="36" t="s">
        <v>676</v>
      </c>
      <c r="C22" s="37"/>
      <c r="D22" s="237" t="s">
        <v>706</v>
      </c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9"/>
      <c r="Q22" s="39" t="s">
        <v>274</v>
      </c>
      <c r="R22" s="40"/>
      <c r="S22" s="39"/>
      <c r="T22" s="40"/>
      <c r="U22" s="39" t="s">
        <v>274</v>
      </c>
      <c r="V22" s="228">
        <v>39338</v>
      </c>
    </row>
    <row r="23" spans="1:22" ht="39.75" customHeight="1" thickBot="1">
      <c r="A23" s="82"/>
      <c r="B23" s="27" t="s">
        <v>717</v>
      </c>
      <c r="C23" s="28"/>
      <c r="D23" s="252" t="s">
        <v>727</v>
      </c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4"/>
      <c r="Q23" s="230" t="s">
        <v>274</v>
      </c>
      <c r="R23" s="31"/>
      <c r="S23" s="30"/>
      <c r="T23" s="31"/>
      <c r="U23" s="30" t="s">
        <v>728</v>
      </c>
      <c r="V23" s="228">
        <v>40501</v>
      </c>
    </row>
    <row r="24" spans="1:22">
      <c r="A24" s="82"/>
      <c r="B24" s="18"/>
    </row>
    <row r="25" spans="1:22">
      <c r="A25" s="18"/>
      <c r="B25" s="18"/>
    </row>
    <row r="26" spans="1:22">
      <c r="A26" s="18"/>
      <c r="B26" s="18"/>
    </row>
  </sheetData>
  <mergeCells count="6">
    <mergeCell ref="D22:P22"/>
    <mergeCell ref="D16:P16"/>
    <mergeCell ref="D17:P17"/>
    <mergeCell ref="D20:P20"/>
    <mergeCell ref="D21:P21"/>
    <mergeCell ref="D23:P23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Q85"/>
  <sheetViews>
    <sheetView workbookViewId="0">
      <selection activeCell="D44" sqref="D44"/>
    </sheetView>
  </sheetViews>
  <sheetFormatPr defaultRowHeight="12.75"/>
  <cols>
    <col min="1" max="1" width="1.85546875" customWidth="1"/>
    <col min="2" max="2" width="30.5703125" bestFit="1" customWidth="1"/>
    <col min="3" max="3" width="8.7109375" bestFit="1" customWidth="1"/>
    <col min="4" max="4" width="13.42578125" customWidth="1"/>
    <col min="5" max="5" width="9" bestFit="1" customWidth="1"/>
    <col min="6" max="6" width="8.5703125" bestFit="1" customWidth="1"/>
    <col min="7" max="7" width="11.5703125" bestFit="1" customWidth="1"/>
    <col min="8" max="8" width="8.5703125" bestFit="1" customWidth="1"/>
    <col min="10" max="10" width="9.42578125" customWidth="1"/>
    <col min="11" max="11" width="12.42578125" bestFit="1" customWidth="1"/>
    <col min="12" max="12" width="8.85546875" bestFit="1" customWidth="1"/>
    <col min="13" max="13" width="11.42578125" bestFit="1" customWidth="1"/>
  </cols>
  <sheetData>
    <row r="1" spans="2:15" ht="13.5" thickBot="1"/>
    <row r="2" spans="2:15" ht="39" thickBot="1">
      <c r="B2" s="1" t="s">
        <v>0</v>
      </c>
      <c r="C2" s="2" t="s">
        <v>596</v>
      </c>
      <c r="D2" s="2" t="s">
        <v>640</v>
      </c>
      <c r="E2" s="2" t="s">
        <v>641</v>
      </c>
      <c r="F2" s="3" t="s">
        <v>3</v>
      </c>
      <c r="G2" s="84" t="s">
        <v>375</v>
      </c>
      <c r="H2" s="2" t="s">
        <v>376</v>
      </c>
      <c r="I2" s="2" t="s">
        <v>48</v>
      </c>
      <c r="J2" s="2" t="s">
        <v>642</v>
      </c>
      <c r="K2" s="2" t="s">
        <v>643</v>
      </c>
      <c r="L2" s="2" t="s">
        <v>50</v>
      </c>
      <c r="M2" s="3" t="s">
        <v>49</v>
      </c>
      <c r="O2" s="54"/>
    </row>
    <row r="3" spans="2:15">
      <c r="B3" s="43" t="s">
        <v>1</v>
      </c>
      <c r="C3" s="7">
        <v>2770</v>
      </c>
      <c r="D3" s="7">
        <v>221.6</v>
      </c>
      <c r="E3" s="7">
        <v>921.6</v>
      </c>
      <c r="F3" s="8">
        <v>1</v>
      </c>
      <c r="G3" s="6">
        <v>34.5</v>
      </c>
      <c r="H3" s="7">
        <v>68.900000000000006</v>
      </c>
      <c r="I3" s="7">
        <v>0.33</v>
      </c>
      <c r="J3" s="9">
        <v>2.3600000000000001E-5</v>
      </c>
      <c r="K3" s="9">
        <v>2.9900000000000003E-8</v>
      </c>
      <c r="L3" s="7"/>
      <c r="M3" s="13">
        <v>21</v>
      </c>
      <c r="O3" s="195"/>
    </row>
    <row r="4" spans="2:15">
      <c r="B4" s="43" t="s">
        <v>2</v>
      </c>
      <c r="C4" s="7">
        <v>2770</v>
      </c>
      <c r="D4" s="7">
        <v>167.9</v>
      </c>
      <c r="E4" s="7">
        <v>961.2</v>
      </c>
      <c r="F4" s="8">
        <v>1</v>
      </c>
      <c r="G4" s="6">
        <v>276</v>
      </c>
      <c r="H4" s="7">
        <v>68.900000000000006</v>
      </c>
      <c r="I4" s="7">
        <v>0.33</v>
      </c>
      <c r="J4" s="9">
        <v>2.3600000000000001E-5</v>
      </c>
      <c r="K4" s="9">
        <v>3.99E-8</v>
      </c>
      <c r="L4" s="7"/>
      <c r="M4" s="13">
        <v>19</v>
      </c>
      <c r="O4" s="195"/>
    </row>
    <row r="5" spans="2:15">
      <c r="B5" s="43" t="s">
        <v>664</v>
      </c>
      <c r="C5" s="7">
        <v>2770</v>
      </c>
      <c r="D5" s="7">
        <v>200.8</v>
      </c>
      <c r="E5" s="7">
        <v>900</v>
      </c>
      <c r="F5" s="8">
        <v>1</v>
      </c>
      <c r="G5" s="6">
        <v>145</v>
      </c>
      <c r="H5" s="7">
        <v>68.900000000000006</v>
      </c>
      <c r="I5" s="7">
        <v>0.33</v>
      </c>
      <c r="J5" s="9">
        <v>2.34E-5</v>
      </c>
      <c r="K5" s="9">
        <v>3.1599999999999998E-8</v>
      </c>
      <c r="L5" s="7"/>
      <c r="M5" s="13">
        <v>98</v>
      </c>
      <c r="O5" s="195"/>
    </row>
    <row r="6" spans="2:15">
      <c r="B6" s="43" t="s">
        <v>693</v>
      </c>
      <c r="C6" s="7">
        <v>2100</v>
      </c>
      <c r="D6" s="7">
        <v>210</v>
      </c>
      <c r="E6" s="7">
        <v>1506</v>
      </c>
      <c r="F6" s="13">
        <v>104</v>
      </c>
      <c r="G6" s="6">
        <v>193</v>
      </c>
      <c r="H6" s="7">
        <v>193</v>
      </c>
      <c r="I6" s="7">
        <v>0.17</v>
      </c>
      <c r="J6" s="9">
        <v>1.3900000000000001E-5</v>
      </c>
      <c r="K6" s="9">
        <v>3.5000000000000002E-8</v>
      </c>
      <c r="L6" s="7"/>
      <c r="M6" s="13">
        <v>104</v>
      </c>
      <c r="O6" s="195"/>
    </row>
    <row r="7" spans="2:15">
      <c r="B7" s="43" t="s">
        <v>74</v>
      </c>
      <c r="C7" s="7">
        <v>3250</v>
      </c>
      <c r="D7" s="7">
        <v>140</v>
      </c>
      <c r="E7" s="7"/>
      <c r="F7" s="13">
        <v>15</v>
      </c>
      <c r="G7" s="94" t="s">
        <v>394</v>
      </c>
      <c r="H7" s="7">
        <v>308</v>
      </c>
      <c r="I7" s="7"/>
      <c r="J7" s="9">
        <v>4.3000000000000003E-6</v>
      </c>
      <c r="K7" s="9">
        <v>1000000000000</v>
      </c>
      <c r="L7" s="7">
        <v>8.6999999999999993</v>
      </c>
      <c r="M7" s="13">
        <v>15</v>
      </c>
      <c r="O7" s="195"/>
    </row>
    <row r="8" spans="2:15">
      <c r="B8" s="43" t="s">
        <v>5</v>
      </c>
      <c r="C8" s="7">
        <v>2080</v>
      </c>
      <c r="D8" s="7">
        <v>212.9</v>
      </c>
      <c r="E8" s="7"/>
      <c r="F8" s="8">
        <v>1</v>
      </c>
      <c r="G8" s="6"/>
      <c r="H8" s="7"/>
      <c r="I8" s="7"/>
      <c r="J8" s="7"/>
      <c r="K8" s="7"/>
      <c r="L8" s="7"/>
      <c r="M8" s="8"/>
      <c r="O8" s="195"/>
    </row>
    <row r="9" spans="2:15">
      <c r="B9" s="43" t="s">
        <v>6</v>
      </c>
      <c r="C9" s="7">
        <v>1830</v>
      </c>
      <c r="D9" s="7">
        <v>141.9</v>
      </c>
      <c r="E9" s="7">
        <v>1800</v>
      </c>
      <c r="F9" s="8">
        <v>1</v>
      </c>
      <c r="G9" s="6"/>
      <c r="H9" s="7"/>
      <c r="I9" s="7"/>
      <c r="J9" s="7"/>
      <c r="K9" s="7"/>
      <c r="L9" s="7"/>
      <c r="M9" s="8"/>
      <c r="O9" s="195"/>
    </row>
    <row r="10" spans="2:15">
      <c r="B10" s="43" t="s">
        <v>8</v>
      </c>
      <c r="C10" s="7">
        <v>3040</v>
      </c>
      <c r="D10" s="7">
        <v>271.8</v>
      </c>
      <c r="E10" s="7">
        <v>1047.5999999999999</v>
      </c>
      <c r="F10" s="8">
        <v>1</v>
      </c>
      <c r="G10" s="6"/>
      <c r="H10" s="7"/>
      <c r="I10" s="7">
        <v>0.38</v>
      </c>
      <c r="J10" s="9">
        <v>6.3999999999999997E-6</v>
      </c>
      <c r="K10" s="7"/>
      <c r="L10" s="7">
        <v>6.5</v>
      </c>
      <c r="M10" s="13">
        <v>24</v>
      </c>
      <c r="O10" s="195"/>
    </row>
    <row r="11" spans="2:15">
      <c r="B11" s="43" t="s">
        <v>4</v>
      </c>
      <c r="C11" s="7">
        <v>1850</v>
      </c>
      <c r="D11" s="7">
        <v>150.6</v>
      </c>
      <c r="E11" s="7">
        <v>1882.8</v>
      </c>
      <c r="F11" s="8">
        <v>1</v>
      </c>
      <c r="G11" s="6">
        <v>295</v>
      </c>
      <c r="H11" s="7">
        <v>303</v>
      </c>
      <c r="I11" s="7">
        <v>0.12</v>
      </c>
      <c r="J11" s="9">
        <v>1.1379999999999999E-5</v>
      </c>
      <c r="K11" s="9">
        <v>4.1999999999999999E-8</v>
      </c>
      <c r="L11" s="7"/>
      <c r="M11" s="13">
        <v>20</v>
      </c>
      <c r="O11" s="195"/>
    </row>
    <row r="12" spans="2:15">
      <c r="B12" s="43" t="s">
        <v>7</v>
      </c>
      <c r="C12" s="7">
        <v>2300</v>
      </c>
      <c r="D12" s="7">
        <v>138.5</v>
      </c>
      <c r="E12" s="7">
        <v>1047.5999999999999</v>
      </c>
      <c r="F12" s="8">
        <v>1</v>
      </c>
      <c r="G12" s="6"/>
      <c r="H12" s="7"/>
      <c r="I12" s="7"/>
      <c r="J12" s="7"/>
      <c r="K12" s="7"/>
      <c r="L12" s="7"/>
      <c r="M12" s="8"/>
      <c r="O12" s="195"/>
    </row>
    <row r="13" spans="2:15">
      <c r="B13" s="43" t="s">
        <v>62</v>
      </c>
      <c r="C13" s="7">
        <v>8900</v>
      </c>
      <c r="D13" s="7">
        <v>19.5</v>
      </c>
      <c r="E13" s="7">
        <v>392.4</v>
      </c>
      <c r="F13" s="151" t="s">
        <v>63</v>
      </c>
      <c r="G13" s="94" t="s">
        <v>392</v>
      </c>
      <c r="H13" s="7">
        <v>162</v>
      </c>
      <c r="I13" s="7"/>
      <c r="J13" s="9">
        <v>1.49E-5</v>
      </c>
      <c r="K13" s="9">
        <v>5.2E-7</v>
      </c>
      <c r="L13" s="7"/>
      <c r="M13" s="151" t="s">
        <v>63</v>
      </c>
      <c r="O13" s="195"/>
    </row>
    <row r="14" spans="2:15">
      <c r="B14" s="43" t="s">
        <v>9</v>
      </c>
      <c r="C14" s="7">
        <v>8860</v>
      </c>
      <c r="D14" s="7">
        <v>391.2</v>
      </c>
      <c r="E14" s="7">
        <v>385.2</v>
      </c>
      <c r="F14" s="8">
        <v>1</v>
      </c>
      <c r="G14" s="6">
        <f>(88+324)/2</f>
        <v>206</v>
      </c>
      <c r="H14" s="7">
        <f>(117+132)/2</f>
        <v>124.5</v>
      </c>
      <c r="I14" s="7">
        <v>0.31</v>
      </c>
      <c r="J14" s="9">
        <v>1.7E-5</v>
      </c>
      <c r="K14" s="7">
        <v>1.7100000000000001E-8</v>
      </c>
      <c r="L14" s="7"/>
      <c r="M14" s="13">
        <v>25</v>
      </c>
      <c r="O14" s="195"/>
    </row>
    <row r="15" spans="2:15">
      <c r="B15" s="43" t="s">
        <v>100</v>
      </c>
      <c r="C15" s="7">
        <v>8860</v>
      </c>
      <c r="D15" s="7">
        <v>132</v>
      </c>
      <c r="E15" s="7">
        <v>417.6</v>
      </c>
      <c r="F15" s="8">
        <v>1</v>
      </c>
      <c r="G15" s="6">
        <f>(380+195)/2</f>
        <v>287.5</v>
      </c>
      <c r="H15" s="7">
        <v>127</v>
      </c>
      <c r="I15" s="7">
        <v>0.3</v>
      </c>
      <c r="J15" s="9">
        <v>1.6699999999999999E-5</v>
      </c>
      <c r="K15" s="9">
        <v>9.6050000000000003E-8</v>
      </c>
      <c r="L15" s="7"/>
      <c r="M15" s="13">
        <v>22</v>
      </c>
      <c r="O15" s="195"/>
    </row>
    <row r="16" spans="2:15">
      <c r="B16" s="43" t="s">
        <v>10</v>
      </c>
      <c r="C16" s="7">
        <v>8580</v>
      </c>
      <c r="D16" s="7">
        <v>121.2</v>
      </c>
      <c r="E16" s="7">
        <v>378</v>
      </c>
      <c r="F16" s="8">
        <v>1</v>
      </c>
      <c r="G16" s="6">
        <v>75</v>
      </c>
      <c r="H16" s="7">
        <v>110</v>
      </c>
      <c r="I16" s="7">
        <v>0.375</v>
      </c>
      <c r="J16" s="9">
        <v>1.9899999999999999E-5</v>
      </c>
      <c r="K16" s="7"/>
      <c r="L16" s="7"/>
      <c r="M16" s="13">
        <v>26</v>
      </c>
      <c r="O16" s="195"/>
    </row>
    <row r="17" spans="2:15">
      <c r="B17" s="43" t="s">
        <v>11</v>
      </c>
      <c r="C17" s="7">
        <v>8860</v>
      </c>
      <c r="D17" s="7">
        <v>180</v>
      </c>
      <c r="E17" s="7">
        <v>378</v>
      </c>
      <c r="F17" s="8">
        <v>1</v>
      </c>
      <c r="G17" s="6">
        <v>83</v>
      </c>
      <c r="H17" s="7">
        <v>115</v>
      </c>
      <c r="I17" s="7">
        <v>0.28000000000000003</v>
      </c>
      <c r="J17" s="9">
        <v>1.84E-5</v>
      </c>
      <c r="K17" s="9">
        <v>4.0999999999999997E-8</v>
      </c>
      <c r="L17" s="7"/>
      <c r="M17" s="13">
        <v>27</v>
      </c>
      <c r="O17" s="195"/>
    </row>
    <row r="18" spans="2:15">
      <c r="B18" s="43" t="s">
        <v>12</v>
      </c>
      <c r="C18" s="7">
        <v>8580</v>
      </c>
      <c r="D18" s="7">
        <v>116</v>
      </c>
      <c r="E18" s="7">
        <v>378</v>
      </c>
      <c r="F18" s="8">
        <v>1</v>
      </c>
      <c r="G18" s="6">
        <v>172</v>
      </c>
      <c r="H18" s="7">
        <v>100</v>
      </c>
      <c r="I18" s="7">
        <v>0.28000000000000003</v>
      </c>
      <c r="J18" s="9">
        <v>2.12E-5</v>
      </c>
      <c r="K18" s="9">
        <v>6.6300000000000005E-8</v>
      </c>
      <c r="L18" s="7"/>
      <c r="M18" s="13">
        <v>28</v>
      </c>
      <c r="O18" s="195"/>
    </row>
    <row r="19" spans="2:15">
      <c r="B19" s="43" t="s">
        <v>13</v>
      </c>
      <c r="C19" s="7">
        <v>8860</v>
      </c>
      <c r="D19" s="7">
        <v>207.7</v>
      </c>
      <c r="E19" s="7">
        <v>378</v>
      </c>
      <c r="F19" s="8">
        <v>1</v>
      </c>
      <c r="G19" s="6">
        <v>76</v>
      </c>
      <c r="H19" s="7">
        <v>117</v>
      </c>
      <c r="I19" s="7">
        <v>0.33</v>
      </c>
      <c r="J19" s="9">
        <v>1.7799999999999999E-5</v>
      </c>
      <c r="K19" s="9">
        <v>3.5999999999999998E-8</v>
      </c>
      <c r="L19" s="7"/>
      <c r="M19" s="13">
        <v>29</v>
      </c>
      <c r="O19" s="195"/>
    </row>
    <row r="20" spans="2:15">
      <c r="B20" s="43" t="s">
        <v>14</v>
      </c>
      <c r="C20" s="7">
        <v>8580</v>
      </c>
      <c r="D20" s="7">
        <v>259.7</v>
      </c>
      <c r="E20" s="7">
        <v>417.6</v>
      </c>
      <c r="F20" s="8">
        <v>1</v>
      </c>
      <c r="G20" s="6">
        <v>105</v>
      </c>
      <c r="H20" s="7">
        <v>115</v>
      </c>
      <c r="I20" s="7">
        <v>0.33</v>
      </c>
      <c r="J20" s="9">
        <v>1.7799999999999999E-5</v>
      </c>
      <c r="K20" s="9">
        <v>3.5899999999999997E-7</v>
      </c>
      <c r="L20" s="7"/>
      <c r="M20" s="13">
        <v>23</v>
      </c>
      <c r="O20" s="195"/>
    </row>
    <row r="21" spans="2:15">
      <c r="B21" s="43" t="s">
        <v>686</v>
      </c>
      <c r="C21" s="7">
        <v>15560</v>
      </c>
      <c r="D21" s="7">
        <v>195</v>
      </c>
      <c r="E21" s="7"/>
      <c r="F21" s="13">
        <v>102</v>
      </c>
      <c r="G21" s="6"/>
      <c r="H21" s="7">
        <v>1.17</v>
      </c>
      <c r="I21" s="7"/>
      <c r="J21" s="9">
        <v>7.6000000000000001E-6</v>
      </c>
      <c r="K21" s="9">
        <v>4.2100000000000003E-6</v>
      </c>
      <c r="L21" s="7"/>
      <c r="M21" s="13">
        <v>101</v>
      </c>
      <c r="O21" s="195"/>
    </row>
    <row r="22" spans="2:15">
      <c r="B22" s="43" t="s">
        <v>15</v>
      </c>
      <c r="C22" s="7">
        <v>1300</v>
      </c>
      <c r="D22" s="7">
        <v>0.4</v>
      </c>
      <c r="E22" s="7">
        <v>1465.2</v>
      </c>
      <c r="F22" s="8">
        <v>1</v>
      </c>
      <c r="G22" s="94" t="s">
        <v>378</v>
      </c>
      <c r="H22" s="7">
        <v>3.1</v>
      </c>
      <c r="I22" s="7"/>
      <c r="J22" s="9">
        <v>8.4599999999999996E-5</v>
      </c>
      <c r="K22" s="96" t="s">
        <v>57</v>
      </c>
      <c r="L22" s="7">
        <v>3.7</v>
      </c>
      <c r="M22" s="13">
        <v>30</v>
      </c>
      <c r="O22" s="195"/>
    </row>
    <row r="23" spans="2:15">
      <c r="B23" s="43" t="s">
        <v>70</v>
      </c>
      <c r="C23" s="7">
        <v>8300</v>
      </c>
      <c r="D23" s="7">
        <v>12.5</v>
      </c>
      <c r="E23" s="7">
        <v>429.98400000000004</v>
      </c>
      <c r="F23" s="13">
        <v>13</v>
      </c>
      <c r="G23" s="6">
        <v>520</v>
      </c>
      <c r="H23" s="7">
        <v>189.6</v>
      </c>
      <c r="I23" s="7">
        <v>0.22600000000000001</v>
      </c>
      <c r="J23" s="9">
        <v>1.517E-5</v>
      </c>
      <c r="K23" s="9">
        <v>9.9599999999999987E-7</v>
      </c>
      <c r="L23" s="7"/>
      <c r="M23" s="13">
        <v>13</v>
      </c>
      <c r="O23" s="195"/>
    </row>
    <row r="24" spans="2:15">
      <c r="B24" s="43" t="s">
        <v>18</v>
      </c>
      <c r="C24" s="7">
        <v>2210</v>
      </c>
      <c r="D24" s="7">
        <v>1.5</v>
      </c>
      <c r="E24" s="7">
        <v>712.8</v>
      </c>
      <c r="F24" s="8">
        <v>1</v>
      </c>
      <c r="G24" s="95" t="s">
        <v>377</v>
      </c>
      <c r="H24" s="7">
        <v>74</v>
      </c>
      <c r="I24" s="7">
        <v>0.17</v>
      </c>
      <c r="J24" s="9">
        <v>3.9999999999999998E-7</v>
      </c>
      <c r="K24" s="9">
        <v>1000000000000</v>
      </c>
      <c r="L24" s="7">
        <v>3.7</v>
      </c>
      <c r="M24" s="13">
        <v>32</v>
      </c>
      <c r="O24" s="195"/>
    </row>
    <row r="25" spans="2:15" ht="38.25">
      <c r="B25" s="43" t="s">
        <v>698</v>
      </c>
      <c r="C25" s="7">
        <v>2210</v>
      </c>
      <c r="D25" s="7">
        <v>1.3</v>
      </c>
      <c r="E25">
        <v>703</v>
      </c>
      <c r="F25" s="13">
        <v>105</v>
      </c>
      <c r="G25" s="227" t="s">
        <v>700</v>
      </c>
      <c r="H25" s="7">
        <v>72.7</v>
      </c>
      <c r="I25" s="7">
        <v>0.16</v>
      </c>
      <c r="J25" s="9">
        <v>5.2E-7</v>
      </c>
      <c r="K25" s="9" t="s">
        <v>702</v>
      </c>
      <c r="L25" s="7">
        <v>3.8</v>
      </c>
      <c r="M25" s="13">
        <v>105</v>
      </c>
      <c r="O25" s="195"/>
    </row>
    <row r="26" spans="2:15">
      <c r="B26" s="43" t="s">
        <v>389</v>
      </c>
      <c r="C26" s="7">
        <v>1800</v>
      </c>
      <c r="D26" s="7">
        <v>0.28800000000000003</v>
      </c>
      <c r="E26" s="7"/>
      <c r="F26" s="13">
        <v>6</v>
      </c>
      <c r="G26" s="94" t="s">
        <v>390</v>
      </c>
      <c r="H26" s="7">
        <v>16.5</v>
      </c>
      <c r="I26" s="7"/>
      <c r="J26" s="9">
        <v>9.9000000000000001E-6</v>
      </c>
      <c r="K26" s="7"/>
      <c r="L26" s="7">
        <v>5</v>
      </c>
      <c r="M26" s="13">
        <v>6</v>
      </c>
      <c r="O26" s="195"/>
    </row>
    <row r="27" spans="2:15">
      <c r="B27" s="43" t="s">
        <v>16</v>
      </c>
      <c r="C27" s="7">
        <v>5260</v>
      </c>
      <c r="D27" s="7">
        <v>32.9</v>
      </c>
      <c r="E27" s="7">
        <v>334.8</v>
      </c>
      <c r="F27" s="8">
        <v>1</v>
      </c>
      <c r="G27" s="6"/>
      <c r="H27" s="7"/>
      <c r="I27" s="7"/>
      <c r="J27" s="9">
        <v>5.4E-6</v>
      </c>
      <c r="K27" s="9">
        <v>100000</v>
      </c>
      <c r="L27" s="7">
        <v>13.2</v>
      </c>
      <c r="M27" s="13">
        <v>17</v>
      </c>
      <c r="O27" s="195"/>
    </row>
    <row r="28" spans="2:15">
      <c r="B28" s="43" t="s">
        <v>17</v>
      </c>
      <c r="C28" s="7">
        <v>5260</v>
      </c>
      <c r="D28" s="7">
        <v>60.6</v>
      </c>
      <c r="E28" s="7">
        <v>324</v>
      </c>
      <c r="F28" s="8">
        <v>1</v>
      </c>
      <c r="G28" s="6"/>
      <c r="H28" s="7">
        <v>130</v>
      </c>
      <c r="I28" s="7">
        <v>0.3</v>
      </c>
      <c r="J28" s="9">
        <v>6.1E-6</v>
      </c>
      <c r="K28" s="9">
        <v>4.9999999999999998E-7</v>
      </c>
      <c r="L28" s="7">
        <v>16</v>
      </c>
      <c r="M28" s="13">
        <v>31</v>
      </c>
      <c r="O28" s="195"/>
    </row>
    <row r="29" spans="2:15">
      <c r="B29" s="43" t="s">
        <v>19</v>
      </c>
      <c r="C29" s="7">
        <v>1000</v>
      </c>
      <c r="D29" s="7">
        <v>0.5</v>
      </c>
      <c r="E29" s="7">
        <v>3099.6</v>
      </c>
      <c r="F29" s="8">
        <v>1</v>
      </c>
      <c r="G29" s="6"/>
      <c r="H29" s="7"/>
      <c r="I29" s="7"/>
      <c r="J29" s="9"/>
      <c r="K29" s="9"/>
      <c r="L29" s="7"/>
      <c r="M29" s="8"/>
      <c r="O29" s="195"/>
    </row>
    <row r="30" spans="2:15">
      <c r="B30" s="43" t="s">
        <v>20</v>
      </c>
      <c r="C30" s="7">
        <v>1160</v>
      </c>
      <c r="D30" s="7">
        <v>1.7</v>
      </c>
      <c r="E30" s="7">
        <v>2008.8</v>
      </c>
      <c r="F30" s="8">
        <v>1</v>
      </c>
      <c r="G30" s="6"/>
      <c r="H30" s="7"/>
      <c r="I30" s="7"/>
      <c r="J30" s="7"/>
      <c r="K30" s="7"/>
      <c r="L30" s="7"/>
      <c r="M30" s="8"/>
      <c r="O30" s="195"/>
    </row>
    <row r="31" spans="2:15">
      <c r="B31" s="43" t="s">
        <v>30</v>
      </c>
      <c r="C31" s="7">
        <v>8300</v>
      </c>
      <c r="D31" s="7">
        <v>11.3</v>
      </c>
      <c r="E31" s="7">
        <v>434.988</v>
      </c>
      <c r="F31" s="8">
        <v>1</v>
      </c>
      <c r="G31" s="6">
        <v>1100</v>
      </c>
      <c r="H31" s="7"/>
      <c r="I31" s="7"/>
      <c r="J31" s="9">
        <v>1.2999999999999999E-5</v>
      </c>
      <c r="K31" s="9">
        <v>1.2500000000000001E-6</v>
      </c>
      <c r="L31" s="7"/>
      <c r="M31" s="13">
        <v>41</v>
      </c>
      <c r="O31" s="195"/>
    </row>
    <row r="32" spans="2:15">
      <c r="B32" s="43" t="s">
        <v>21</v>
      </c>
      <c r="C32" s="7">
        <v>8030</v>
      </c>
      <c r="D32" s="7">
        <v>13.3</v>
      </c>
      <c r="E32" s="7">
        <v>504</v>
      </c>
      <c r="F32" s="8">
        <v>1</v>
      </c>
      <c r="G32" s="6">
        <v>276</v>
      </c>
      <c r="H32" s="7">
        <v>141</v>
      </c>
      <c r="I32" s="7"/>
      <c r="J32" s="9">
        <v>1.3E-6</v>
      </c>
      <c r="K32" s="9">
        <v>8.1999999999999998E-7</v>
      </c>
      <c r="L32" s="7"/>
      <c r="M32" s="13">
        <v>33</v>
      </c>
      <c r="O32" s="195"/>
    </row>
    <row r="33" spans="2:17">
      <c r="B33" s="43" t="s">
        <v>23</v>
      </c>
      <c r="C33" s="7">
        <v>1300</v>
      </c>
      <c r="D33" s="7">
        <v>0.2</v>
      </c>
      <c r="E33" s="7">
        <v>1087.2</v>
      </c>
      <c r="F33" s="8">
        <v>1</v>
      </c>
      <c r="G33" s="6"/>
      <c r="H33" s="7"/>
      <c r="I33" s="7"/>
      <c r="J33" s="7"/>
      <c r="K33" s="7"/>
      <c r="L33" s="7"/>
      <c r="M33" s="8"/>
      <c r="O33" s="195"/>
    </row>
    <row r="34" spans="2:17">
      <c r="B34" s="43" t="s">
        <v>22</v>
      </c>
      <c r="C34" s="7">
        <v>1410</v>
      </c>
      <c r="D34" s="7">
        <v>0.2</v>
      </c>
      <c r="E34" s="7">
        <v>1004.4</v>
      </c>
      <c r="F34" s="8">
        <v>1</v>
      </c>
      <c r="G34" s="6">
        <v>69</v>
      </c>
      <c r="H34" s="7">
        <v>2.8</v>
      </c>
      <c r="I34" s="7">
        <v>0.34</v>
      </c>
      <c r="J34" s="9">
        <v>2.0000000000000002E-5</v>
      </c>
      <c r="K34" s="9">
        <v>100000000</v>
      </c>
      <c r="L34" s="7">
        <v>3.5</v>
      </c>
      <c r="M34" s="13">
        <v>34</v>
      </c>
      <c r="O34" s="195"/>
    </row>
    <row r="35" spans="2:17">
      <c r="B35" s="43" t="s">
        <v>24</v>
      </c>
      <c r="C35" s="7">
        <v>8360</v>
      </c>
      <c r="D35" s="7">
        <v>16.399999999999999</v>
      </c>
      <c r="E35" s="7">
        <v>438.84</v>
      </c>
      <c r="F35" s="8">
        <v>1</v>
      </c>
      <c r="G35" s="6">
        <v>345</v>
      </c>
      <c r="H35" s="7">
        <v>138</v>
      </c>
      <c r="I35" s="7">
        <v>0.317</v>
      </c>
      <c r="J35" s="9">
        <v>5.8599999999999998E-6</v>
      </c>
      <c r="K35" s="9">
        <v>4.8999999999999997E-7</v>
      </c>
      <c r="L35" s="7"/>
      <c r="M35" s="13">
        <v>35</v>
      </c>
      <c r="O35" s="195"/>
    </row>
    <row r="36" spans="2:17">
      <c r="B36" s="43" t="s">
        <v>45</v>
      </c>
      <c r="C36" s="7">
        <v>1930</v>
      </c>
      <c r="D36" s="7">
        <v>35</v>
      </c>
      <c r="E36" s="7">
        <v>1086.9839999999999</v>
      </c>
      <c r="F36" s="8">
        <v>2</v>
      </c>
      <c r="G36" s="255" t="s">
        <v>415</v>
      </c>
      <c r="H36" s="256"/>
      <c r="I36" s="256"/>
      <c r="J36" s="256"/>
      <c r="K36" s="256"/>
      <c r="L36" s="256"/>
      <c r="M36" s="257"/>
      <c r="O36" s="195"/>
      <c r="Q36" s="195"/>
    </row>
    <row r="37" spans="2:17">
      <c r="B37" s="43" t="s">
        <v>25</v>
      </c>
      <c r="C37" s="7">
        <v>1800</v>
      </c>
      <c r="D37" s="7">
        <v>73.2</v>
      </c>
      <c r="E37" s="7">
        <v>1047.5999999999999</v>
      </c>
      <c r="F37" s="8">
        <v>1</v>
      </c>
      <c r="G37" s="6">
        <v>170</v>
      </c>
      <c r="H37" s="7">
        <v>45</v>
      </c>
      <c r="I37" s="7">
        <v>0.35</v>
      </c>
      <c r="J37" s="9">
        <v>2.5999999999999998E-5</v>
      </c>
      <c r="K37" s="9">
        <v>9.2000000000000003E-8</v>
      </c>
      <c r="L37" s="7"/>
      <c r="M37" s="13">
        <v>36</v>
      </c>
      <c r="O37" s="195"/>
      <c r="Q37" s="195"/>
    </row>
    <row r="38" spans="2:17">
      <c r="B38" s="43" t="s">
        <v>58</v>
      </c>
      <c r="C38" s="7">
        <v>8190</v>
      </c>
      <c r="D38" s="7">
        <v>26.4</v>
      </c>
      <c r="E38" s="7">
        <v>406.00800000000004</v>
      </c>
      <c r="F38" s="13">
        <v>7</v>
      </c>
      <c r="G38" s="94" t="s">
        <v>391</v>
      </c>
      <c r="H38" s="7">
        <v>124</v>
      </c>
      <c r="I38" s="7"/>
      <c r="J38" s="9">
        <v>1.8700000000000001E-5</v>
      </c>
      <c r="K38" s="9">
        <v>4.82E-7</v>
      </c>
      <c r="L38" s="7"/>
      <c r="M38" s="151" t="s">
        <v>60</v>
      </c>
      <c r="O38" s="195"/>
    </row>
    <row r="39" spans="2:17">
      <c r="B39" s="43" t="s">
        <v>26</v>
      </c>
      <c r="C39" s="7">
        <v>10240</v>
      </c>
      <c r="D39" s="7">
        <v>147.1</v>
      </c>
      <c r="E39" s="7">
        <v>273.60000000000002</v>
      </c>
      <c r="F39" s="8">
        <v>1</v>
      </c>
      <c r="G39" s="6">
        <v>415</v>
      </c>
      <c r="H39" s="7">
        <v>330</v>
      </c>
      <c r="I39" s="7"/>
      <c r="J39" s="9">
        <v>5.3499999999999996E-6</v>
      </c>
      <c r="K39" s="9">
        <v>5.6999999999999994E-8</v>
      </c>
      <c r="L39" s="7"/>
      <c r="M39" s="13">
        <v>37</v>
      </c>
      <c r="O39" s="195"/>
    </row>
    <row r="40" spans="2:17">
      <c r="B40" s="43" t="s">
        <v>27</v>
      </c>
      <c r="C40" s="7">
        <v>10240</v>
      </c>
      <c r="D40" s="7">
        <v>147.1</v>
      </c>
      <c r="E40" s="7">
        <v>273.60000000000002</v>
      </c>
      <c r="F40" s="8">
        <v>1</v>
      </c>
      <c r="G40" s="6">
        <v>860</v>
      </c>
      <c r="H40" s="7">
        <v>325</v>
      </c>
      <c r="I40" s="7"/>
      <c r="J40" s="9">
        <v>4.8999999999999997E-6</v>
      </c>
      <c r="K40" s="7"/>
      <c r="L40" s="7"/>
      <c r="M40" s="13">
        <v>38</v>
      </c>
      <c r="O40" s="195"/>
    </row>
    <row r="41" spans="2:17">
      <c r="B41" s="43" t="s">
        <v>28</v>
      </c>
      <c r="C41" s="7">
        <v>2330</v>
      </c>
      <c r="D41" s="7">
        <v>0.42</v>
      </c>
      <c r="E41" s="7">
        <v>504</v>
      </c>
      <c r="F41" s="8">
        <v>1</v>
      </c>
      <c r="G41" s="6">
        <v>41</v>
      </c>
      <c r="H41" s="7">
        <v>76</v>
      </c>
      <c r="I41" s="7"/>
      <c r="J41" s="9">
        <v>1.0499999999999999E-5</v>
      </c>
      <c r="K41" s="9">
        <v>10000000000</v>
      </c>
      <c r="L41" s="7">
        <v>6.7</v>
      </c>
      <c r="M41" s="13">
        <v>39</v>
      </c>
      <c r="O41" s="195"/>
    </row>
    <row r="42" spans="2:17">
      <c r="B42" s="43" t="s">
        <v>29</v>
      </c>
      <c r="C42" s="7">
        <v>8030</v>
      </c>
      <c r="D42" s="7">
        <v>21.8</v>
      </c>
      <c r="E42" s="7">
        <v>417.6</v>
      </c>
      <c r="F42" s="8">
        <v>1</v>
      </c>
      <c r="G42" s="6">
        <v>240</v>
      </c>
      <c r="H42" s="7"/>
      <c r="I42" s="7"/>
      <c r="J42" s="9">
        <v>1.3900000000000001E-5</v>
      </c>
      <c r="K42" s="9">
        <v>5.4700000000000001E-7</v>
      </c>
      <c r="L42" s="7"/>
      <c r="M42" s="13">
        <v>40</v>
      </c>
      <c r="O42" s="195"/>
    </row>
    <row r="43" spans="2:17">
      <c r="B43" s="43" t="s">
        <v>68</v>
      </c>
      <c r="C43" s="7">
        <v>1480</v>
      </c>
      <c r="D43" s="7">
        <v>0.39</v>
      </c>
      <c r="E43" s="7">
        <v>1900.008</v>
      </c>
      <c r="F43" s="13">
        <v>12</v>
      </c>
      <c r="G43" s="6">
        <v>98.5</v>
      </c>
      <c r="H43" s="7">
        <v>9.6999999999999993</v>
      </c>
      <c r="I43" s="7">
        <v>0.45</v>
      </c>
      <c r="J43" s="9">
        <v>2.37E-5</v>
      </c>
      <c r="K43" s="9">
        <v>80000000000000</v>
      </c>
      <c r="L43" s="7">
        <v>3.8</v>
      </c>
      <c r="M43" s="13">
        <v>12</v>
      </c>
      <c r="O43" s="195"/>
    </row>
    <row r="44" spans="2:17">
      <c r="B44" s="105" t="s">
        <v>66</v>
      </c>
      <c r="C44" s="7">
        <v>1300</v>
      </c>
      <c r="D44" s="7">
        <v>0.25</v>
      </c>
      <c r="E44">
        <v>2000.0160000000003</v>
      </c>
      <c r="F44" s="152">
        <v>11</v>
      </c>
      <c r="G44" s="107">
        <v>98.8</v>
      </c>
      <c r="H44" s="108">
        <v>4.5</v>
      </c>
      <c r="I44" s="7">
        <v>0.4</v>
      </c>
      <c r="J44" s="9">
        <v>4.4100000000000001E-5</v>
      </c>
      <c r="K44" s="9">
        <v>200000000000000</v>
      </c>
      <c r="L44" s="7">
        <v>3.3</v>
      </c>
      <c r="M44" s="152">
        <v>11</v>
      </c>
      <c r="O44" s="195"/>
    </row>
    <row r="45" spans="2:17">
      <c r="B45" s="43" t="s">
        <v>31</v>
      </c>
      <c r="C45" s="7">
        <v>1080</v>
      </c>
      <c r="D45" s="7">
        <v>0.3</v>
      </c>
      <c r="E45" s="7"/>
      <c r="F45" s="8">
        <v>1</v>
      </c>
      <c r="G45" s="94" t="s">
        <v>383</v>
      </c>
      <c r="H45" s="7"/>
      <c r="I45" s="7"/>
      <c r="J45" s="9">
        <v>2.2000000000000001E-4</v>
      </c>
      <c r="K45" s="9">
        <v>2000000000000</v>
      </c>
      <c r="L45" s="7">
        <v>3.6</v>
      </c>
      <c r="M45" s="13">
        <v>42</v>
      </c>
      <c r="O45" s="195"/>
    </row>
    <row r="46" spans="2:17">
      <c r="B46" s="43" t="s">
        <v>32</v>
      </c>
      <c r="C46" s="7">
        <v>1270</v>
      </c>
      <c r="D46" s="7">
        <v>0.3</v>
      </c>
      <c r="E46" s="7"/>
      <c r="F46" s="8">
        <v>1</v>
      </c>
      <c r="G46" s="94" t="s">
        <v>382</v>
      </c>
      <c r="H46" s="7"/>
      <c r="I46" s="7"/>
      <c r="J46" s="9">
        <v>2.0000000000000001E-4</v>
      </c>
      <c r="K46" s="9">
        <v>2000000000000</v>
      </c>
      <c r="L46" s="7">
        <v>3.9</v>
      </c>
      <c r="M46" s="13">
        <v>43</v>
      </c>
      <c r="O46" s="195"/>
    </row>
    <row r="47" spans="2:17">
      <c r="B47" s="43" t="s">
        <v>123</v>
      </c>
      <c r="C47" s="7">
        <v>1490</v>
      </c>
      <c r="D47" s="7">
        <v>0.31</v>
      </c>
      <c r="E47" s="7"/>
      <c r="F47" s="13">
        <v>45</v>
      </c>
      <c r="G47" s="94" t="s">
        <v>381</v>
      </c>
      <c r="H47" s="7"/>
      <c r="I47" s="7"/>
      <c r="J47" s="9">
        <v>2.0000000000000001E-4</v>
      </c>
      <c r="K47" s="9">
        <v>2000000000000</v>
      </c>
      <c r="L47" s="7">
        <v>3.9</v>
      </c>
      <c r="M47" s="13">
        <v>45</v>
      </c>
      <c r="O47" s="195"/>
    </row>
    <row r="48" spans="2:17">
      <c r="B48" s="43" t="s">
        <v>33</v>
      </c>
      <c r="C48" s="7">
        <v>910</v>
      </c>
      <c r="D48" s="7">
        <v>0.2</v>
      </c>
      <c r="E48" s="7"/>
      <c r="F48" s="8">
        <v>1</v>
      </c>
      <c r="G48" s="94" t="s">
        <v>380</v>
      </c>
      <c r="H48" s="7"/>
      <c r="I48" s="7"/>
      <c r="J48" s="9">
        <v>2.7E-4</v>
      </c>
      <c r="K48" s="9">
        <v>18000000000000</v>
      </c>
      <c r="L48" s="7">
        <v>2.89</v>
      </c>
      <c r="M48" s="13">
        <v>44</v>
      </c>
      <c r="O48" s="195"/>
    </row>
    <row r="49" spans="2:15">
      <c r="B49" s="43" t="s">
        <v>565</v>
      </c>
      <c r="C49" s="7">
        <v>2530</v>
      </c>
      <c r="D49" s="7">
        <v>170</v>
      </c>
      <c r="E49" s="7">
        <v>659</v>
      </c>
      <c r="F49" s="13">
        <v>91</v>
      </c>
      <c r="G49" s="94" t="s">
        <v>567</v>
      </c>
      <c r="H49" s="7">
        <v>218</v>
      </c>
      <c r="I49" s="7">
        <v>0.17</v>
      </c>
      <c r="J49" s="9">
        <v>2.3999999999999999E-6</v>
      </c>
      <c r="K49" s="9"/>
      <c r="L49" s="7"/>
      <c r="M49" s="13">
        <v>91</v>
      </c>
      <c r="O49" s="195"/>
    </row>
    <row r="50" spans="2:15">
      <c r="B50" s="43" t="s">
        <v>566</v>
      </c>
      <c r="C50" s="7">
        <v>2930</v>
      </c>
      <c r="D50" s="7">
        <v>220</v>
      </c>
      <c r="E50" s="7">
        <v>652</v>
      </c>
      <c r="F50" s="13">
        <v>91</v>
      </c>
      <c r="G50" s="113" t="s">
        <v>568</v>
      </c>
      <c r="H50" s="7">
        <v>354</v>
      </c>
      <c r="I50" s="7">
        <v>0.17</v>
      </c>
      <c r="J50" s="9">
        <v>2.3999999999999999E-6</v>
      </c>
      <c r="K50" s="9"/>
      <c r="L50" s="7"/>
      <c r="M50" s="13">
        <v>91</v>
      </c>
      <c r="O50" s="195"/>
    </row>
    <row r="51" spans="2:15">
      <c r="B51" s="43" t="s">
        <v>502</v>
      </c>
      <c r="C51" s="7">
        <v>2950</v>
      </c>
      <c r="D51" s="7">
        <v>156</v>
      </c>
      <c r="E51" s="7">
        <v>670</v>
      </c>
      <c r="F51" s="13">
        <v>65</v>
      </c>
      <c r="G51" s="37"/>
      <c r="H51" s="7">
        <v>310.3</v>
      </c>
      <c r="I51" s="7"/>
      <c r="J51" s="9">
        <v>2.4399999999999999E-6</v>
      </c>
      <c r="K51" s="9"/>
      <c r="L51" s="7"/>
      <c r="M51" s="13">
        <v>65</v>
      </c>
      <c r="O51" s="195"/>
    </row>
    <row r="52" spans="2:15">
      <c r="B52" s="43" t="s">
        <v>397</v>
      </c>
      <c r="C52" s="7">
        <v>3210</v>
      </c>
      <c r="D52" s="7">
        <v>115</v>
      </c>
      <c r="E52" s="7"/>
      <c r="F52" s="13">
        <v>75</v>
      </c>
      <c r="G52" s="113" t="s">
        <v>401</v>
      </c>
      <c r="H52" s="7">
        <v>468</v>
      </c>
      <c r="I52" s="7">
        <v>0.21</v>
      </c>
      <c r="J52" s="9">
        <v>4.5999999999999999E-3</v>
      </c>
      <c r="K52" s="9">
        <v>10000</v>
      </c>
      <c r="L52" s="7"/>
      <c r="M52" s="13">
        <v>75</v>
      </c>
      <c r="O52" s="195"/>
    </row>
    <row r="53" spans="2:15">
      <c r="B53" s="43" t="s">
        <v>406</v>
      </c>
      <c r="C53" s="7">
        <v>3210</v>
      </c>
      <c r="D53" s="7">
        <v>300</v>
      </c>
      <c r="E53" s="7">
        <v>640</v>
      </c>
      <c r="F53" s="13">
        <v>77</v>
      </c>
      <c r="G53" s="94" t="s">
        <v>408</v>
      </c>
      <c r="H53" s="7">
        <v>466</v>
      </c>
      <c r="I53" s="7">
        <v>0.21</v>
      </c>
      <c r="J53" s="9">
        <v>2.2000000000000001E-6</v>
      </c>
      <c r="K53" s="111" t="s">
        <v>597</v>
      </c>
      <c r="L53" s="7"/>
      <c r="M53" s="13">
        <v>77</v>
      </c>
      <c r="O53" s="195"/>
    </row>
    <row r="54" spans="2:15">
      <c r="B54" s="43" t="s">
        <v>398</v>
      </c>
      <c r="C54" s="7">
        <v>3100</v>
      </c>
      <c r="D54" s="7">
        <v>125</v>
      </c>
      <c r="E54" s="7"/>
      <c r="F54" s="13">
        <v>75</v>
      </c>
      <c r="G54" s="94">
        <v>307</v>
      </c>
      <c r="H54" s="7">
        <v>462</v>
      </c>
      <c r="I54" s="7">
        <v>0.2</v>
      </c>
      <c r="J54" s="9">
        <v>4.3000000000000003E-6</v>
      </c>
      <c r="K54" s="9">
        <v>10</v>
      </c>
      <c r="L54" s="7"/>
      <c r="M54" s="13">
        <v>75</v>
      </c>
      <c r="O54" s="195"/>
    </row>
    <row r="55" spans="2:15">
      <c r="B55" s="43" t="s">
        <v>403</v>
      </c>
      <c r="C55" s="7">
        <v>3100</v>
      </c>
      <c r="D55" s="7">
        <v>180</v>
      </c>
      <c r="E55" s="7">
        <v>680</v>
      </c>
      <c r="F55" s="13">
        <v>76</v>
      </c>
      <c r="G55" s="94" t="s">
        <v>404</v>
      </c>
      <c r="H55" s="7">
        <v>420</v>
      </c>
      <c r="I55" s="7">
        <v>0.16</v>
      </c>
      <c r="J55" s="9">
        <v>3.9999999999999998E-6</v>
      </c>
      <c r="K55" s="9">
        <v>1000</v>
      </c>
      <c r="L55" s="7"/>
      <c r="M55" s="13">
        <v>76</v>
      </c>
      <c r="O55" s="195"/>
    </row>
    <row r="56" spans="2:15">
      <c r="B56" s="43" t="s">
        <v>399</v>
      </c>
      <c r="C56" s="7">
        <v>3150</v>
      </c>
      <c r="D56" s="7">
        <v>150</v>
      </c>
      <c r="E56" s="7"/>
      <c r="F56" s="13">
        <v>75</v>
      </c>
      <c r="G56" s="94" t="s">
        <v>402</v>
      </c>
      <c r="H56" s="7">
        <v>480</v>
      </c>
      <c r="I56" s="7">
        <v>0.21</v>
      </c>
      <c r="J56" s="9">
        <v>4.4000000000000002E-6</v>
      </c>
      <c r="K56" s="9">
        <v>1000</v>
      </c>
      <c r="L56" s="7"/>
      <c r="M56" s="13">
        <v>75</v>
      </c>
      <c r="O56" s="195"/>
    </row>
    <row r="57" spans="2:15">
      <c r="B57" s="43" t="s">
        <v>552</v>
      </c>
      <c r="C57" s="7">
        <v>2900</v>
      </c>
      <c r="D57" s="7">
        <v>165</v>
      </c>
      <c r="E57" s="7">
        <v>680</v>
      </c>
      <c r="F57" s="13">
        <v>88</v>
      </c>
      <c r="G57" s="94" t="s">
        <v>554</v>
      </c>
      <c r="H57" s="7">
        <v>331</v>
      </c>
      <c r="I57" s="7">
        <v>0.14000000000000001</v>
      </c>
      <c r="J57" s="9">
        <v>2.52E-6</v>
      </c>
      <c r="K57" s="9">
        <v>3.1480000000000004E-5</v>
      </c>
      <c r="L57" s="7"/>
      <c r="M57" s="13">
        <v>88</v>
      </c>
      <c r="O57" s="195"/>
    </row>
    <row r="58" spans="2:15">
      <c r="B58" s="43" t="s">
        <v>559</v>
      </c>
      <c r="C58" s="7">
        <v>2690</v>
      </c>
      <c r="D58" s="7">
        <v>135</v>
      </c>
      <c r="E58" s="7">
        <v>700</v>
      </c>
      <c r="F58" s="13">
        <v>89</v>
      </c>
      <c r="G58" s="94" t="s">
        <v>560</v>
      </c>
      <c r="H58" s="7">
        <v>269</v>
      </c>
      <c r="I58" s="7"/>
      <c r="J58" s="9">
        <v>2.0999999999999998E-6</v>
      </c>
      <c r="K58" s="9"/>
      <c r="L58" s="7"/>
      <c r="M58" s="13">
        <v>89</v>
      </c>
      <c r="O58" s="195"/>
    </row>
    <row r="59" spans="2:15">
      <c r="B59" s="43" t="s">
        <v>575</v>
      </c>
      <c r="C59" s="7">
        <v>3150</v>
      </c>
      <c r="D59" s="7">
        <v>175</v>
      </c>
      <c r="E59" s="7">
        <v>800</v>
      </c>
      <c r="F59" s="13">
        <v>93</v>
      </c>
      <c r="G59" s="94" t="s">
        <v>402</v>
      </c>
      <c r="H59" s="7">
        <v>410</v>
      </c>
      <c r="I59" s="7">
        <v>0.21</v>
      </c>
      <c r="J59" s="9">
        <v>2.2000000000000001E-6</v>
      </c>
      <c r="K59" s="9">
        <f>K56</f>
        <v>1000</v>
      </c>
      <c r="L59" s="7"/>
      <c r="M59" s="13">
        <v>93</v>
      </c>
      <c r="O59" s="195"/>
    </row>
    <row r="60" spans="2:15">
      <c r="B60" s="43" t="s">
        <v>667</v>
      </c>
      <c r="C60" s="7">
        <v>2700</v>
      </c>
      <c r="D60" s="7">
        <v>120</v>
      </c>
      <c r="E60" s="7">
        <v>800</v>
      </c>
      <c r="F60" s="13">
        <v>99</v>
      </c>
      <c r="G60" s="94" t="s">
        <v>668</v>
      </c>
      <c r="H60" s="7">
        <v>250</v>
      </c>
      <c r="I60" s="7">
        <v>0.16</v>
      </c>
      <c r="J60" s="9">
        <v>2.0899999999999999E-6</v>
      </c>
      <c r="K60" s="9">
        <v>6.1000000000000004E-3</v>
      </c>
      <c r="L60" s="7"/>
      <c r="M60" s="13">
        <v>99</v>
      </c>
      <c r="O60" s="195"/>
    </row>
    <row r="61" spans="2:15">
      <c r="B61" s="43" t="s">
        <v>34</v>
      </c>
      <c r="C61" s="7">
        <v>2330</v>
      </c>
      <c r="D61" s="7">
        <v>148.9</v>
      </c>
      <c r="E61" s="7">
        <v>712.8</v>
      </c>
      <c r="F61" s="8">
        <v>1</v>
      </c>
      <c r="G61" s="94" t="s">
        <v>385</v>
      </c>
      <c r="H61" s="7">
        <v>112.4</v>
      </c>
      <c r="I61" s="7">
        <v>0.28000000000000003</v>
      </c>
      <c r="J61" s="9">
        <v>2.4899999999999999E-6</v>
      </c>
      <c r="K61" s="7">
        <v>1E-4</v>
      </c>
      <c r="L61" s="7">
        <v>11.8</v>
      </c>
      <c r="M61" s="13">
        <v>16</v>
      </c>
      <c r="O61" s="195"/>
    </row>
    <row r="62" spans="2:15">
      <c r="B62" s="43" t="s">
        <v>35</v>
      </c>
      <c r="C62" s="7">
        <v>8030</v>
      </c>
      <c r="D62" s="7">
        <v>16.3</v>
      </c>
      <c r="E62" s="7">
        <v>504</v>
      </c>
      <c r="F62" s="8">
        <v>1</v>
      </c>
      <c r="G62" s="6">
        <v>215</v>
      </c>
      <c r="H62" s="7">
        <f>(193+200)/2</f>
        <v>196.5</v>
      </c>
      <c r="I62" s="7">
        <v>0.28999999999999998</v>
      </c>
      <c r="J62" s="9">
        <v>1.73E-5</v>
      </c>
      <c r="K62" s="9">
        <v>7.1999999999999999E-7</v>
      </c>
      <c r="L62" s="7"/>
      <c r="M62" s="13">
        <v>46</v>
      </c>
      <c r="O62" s="195"/>
    </row>
    <row r="63" spans="2:15">
      <c r="B63" s="43" t="s">
        <v>36</v>
      </c>
      <c r="C63" s="7">
        <v>7750</v>
      </c>
      <c r="D63" s="7">
        <v>24.2</v>
      </c>
      <c r="E63" s="7">
        <v>460.8</v>
      </c>
      <c r="F63" s="8">
        <v>1</v>
      </c>
      <c r="G63" s="6">
        <v>1280</v>
      </c>
      <c r="H63" s="7">
        <v>200</v>
      </c>
      <c r="I63" s="7">
        <v>0.28999999999999998</v>
      </c>
      <c r="J63" s="9">
        <v>1.0200000000000001E-5</v>
      </c>
      <c r="K63" s="7"/>
      <c r="L63" s="7"/>
      <c r="M63" s="13">
        <v>18</v>
      </c>
      <c r="O63" s="195"/>
    </row>
    <row r="64" spans="2:15">
      <c r="B64" s="106" t="s">
        <v>384</v>
      </c>
      <c r="C64" s="7">
        <v>7920</v>
      </c>
      <c r="D64" s="7">
        <v>12.6</v>
      </c>
      <c r="E64" s="7">
        <v>460</v>
      </c>
      <c r="F64" s="157">
        <v>73</v>
      </c>
      <c r="G64" s="55">
        <v>703</v>
      </c>
      <c r="H64" s="77">
        <v>200</v>
      </c>
      <c r="I64" s="7">
        <v>0.3</v>
      </c>
      <c r="J64" s="9">
        <v>1.6900000000000001E-5</v>
      </c>
      <c r="K64" s="7"/>
      <c r="L64" s="7"/>
      <c r="M64" s="157">
        <v>73</v>
      </c>
      <c r="O64" s="195"/>
    </row>
    <row r="65" spans="2:15">
      <c r="B65" s="43" t="s">
        <v>37</v>
      </c>
      <c r="C65" s="7">
        <v>16610</v>
      </c>
      <c r="D65" s="7">
        <v>54.5</v>
      </c>
      <c r="E65" s="7">
        <v>151.19999999999999</v>
      </c>
      <c r="F65" s="8">
        <v>1</v>
      </c>
      <c r="G65" s="94" t="s">
        <v>386</v>
      </c>
      <c r="H65" s="7">
        <v>186</v>
      </c>
      <c r="I65" s="7">
        <v>0.35</v>
      </c>
      <c r="J65" s="9">
        <v>6.4999999999999996E-6</v>
      </c>
      <c r="K65" s="9">
        <v>1.2499999999999999E-7</v>
      </c>
      <c r="L65" s="7"/>
      <c r="M65" s="13">
        <v>47</v>
      </c>
      <c r="O65" s="195"/>
    </row>
    <row r="66" spans="2:15">
      <c r="B66" s="43" t="s">
        <v>38</v>
      </c>
      <c r="C66" s="7">
        <v>2210</v>
      </c>
      <c r="D66" s="7">
        <v>0.2</v>
      </c>
      <c r="E66" s="7">
        <v>1004.4</v>
      </c>
      <c r="F66" s="8">
        <v>1</v>
      </c>
      <c r="G66" s="6">
        <v>12.4</v>
      </c>
      <c r="H66" s="7">
        <v>0.46</v>
      </c>
      <c r="I66" s="7">
        <v>0.48</v>
      </c>
      <c r="J66" s="9">
        <v>1.35E-4</v>
      </c>
      <c r="K66" s="9">
        <v>1000000000000000</v>
      </c>
      <c r="L66" s="7">
        <v>2.04</v>
      </c>
      <c r="M66" s="13">
        <v>48</v>
      </c>
      <c r="O66" s="195"/>
    </row>
    <row r="67" spans="2:15">
      <c r="B67" s="99" t="s">
        <v>39</v>
      </c>
      <c r="C67" s="100">
        <v>2210</v>
      </c>
      <c r="D67" s="100">
        <v>0.2</v>
      </c>
      <c r="E67" s="100">
        <v>961.2</v>
      </c>
      <c r="F67" s="73">
        <v>1</v>
      </c>
      <c r="G67" s="45">
        <v>9</v>
      </c>
      <c r="H67" s="100">
        <v>0.46</v>
      </c>
      <c r="I67" s="100">
        <v>0.46</v>
      </c>
      <c r="J67" s="102">
        <v>7.8999999999999996E-5</v>
      </c>
      <c r="K67" s="102">
        <v>7000000000000000</v>
      </c>
      <c r="L67" s="100">
        <v>2.1</v>
      </c>
      <c r="M67" s="46">
        <v>49</v>
      </c>
      <c r="O67" s="195"/>
    </row>
    <row r="68" spans="2:15">
      <c r="B68" s="99" t="s">
        <v>40</v>
      </c>
      <c r="C68" s="100">
        <v>4430</v>
      </c>
      <c r="D68" s="100">
        <v>7.3</v>
      </c>
      <c r="E68" s="100">
        <v>572.4</v>
      </c>
      <c r="F68" s="73">
        <v>1</v>
      </c>
      <c r="G68" s="45">
        <v>880</v>
      </c>
      <c r="H68" s="100">
        <v>113.8</v>
      </c>
      <c r="I68" s="100">
        <v>0.34200000000000003</v>
      </c>
      <c r="J68" s="102">
        <v>8.6000000000000007E-6</v>
      </c>
      <c r="K68" s="100">
        <v>1.7799999999999999E-6</v>
      </c>
      <c r="L68" s="100"/>
      <c r="M68" s="46">
        <v>4</v>
      </c>
      <c r="O68" s="195"/>
    </row>
    <row r="69" spans="2:15">
      <c r="B69" s="99" t="s">
        <v>41</v>
      </c>
      <c r="C69" s="100">
        <v>19380</v>
      </c>
      <c r="D69" s="100">
        <v>167.9</v>
      </c>
      <c r="E69" s="100">
        <v>144</v>
      </c>
      <c r="F69" s="73">
        <v>1</v>
      </c>
      <c r="G69" s="45">
        <v>750</v>
      </c>
      <c r="H69" s="100">
        <v>400</v>
      </c>
      <c r="I69" s="100">
        <v>0.28000000000000003</v>
      </c>
      <c r="J69" s="102">
        <v>4.4000000000000002E-6</v>
      </c>
      <c r="K69" s="102">
        <v>5.6500000000000003E-8</v>
      </c>
      <c r="L69" s="100"/>
      <c r="M69" s="46">
        <v>50</v>
      </c>
      <c r="O69" s="195"/>
    </row>
    <row r="70" spans="2:15">
      <c r="B70" s="99" t="s">
        <v>72</v>
      </c>
      <c r="C70" s="100">
        <v>2210</v>
      </c>
      <c r="D70" s="100">
        <v>1.31</v>
      </c>
      <c r="E70" s="100">
        <v>767.01599999999996</v>
      </c>
      <c r="F70" s="46">
        <v>14</v>
      </c>
      <c r="G70" s="101" t="s">
        <v>393</v>
      </c>
      <c r="H70" s="100">
        <v>67.599999999999994</v>
      </c>
      <c r="I70" s="100">
        <v>0.17</v>
      </c>
      <c r="J70" s="201" t="s">
        <v>605</v>
      </c>
      <c r="K70" s="100">
        <v>3981071705.5349841</v>
      </c>
      <c r="L70" s="100"/>
      <c r="M70" s="46">
        <v>14</v>
      </c>
      <c r="O70" s="195"/>
    </row>
    <row r="71" spans="2:15">
      <c r="B71" s="99" t="s">
        <v>47</v>
      </c>
      <c r="C71" s="100">
        <v>1280</v>
      </c>
      <c r="D71" s="100">
        <v>0.122</v>
      </c>
      <c r="E71" s="100"/>
      <c r="F71" s="46">
        <v>3</v>
      </c>
      <c r="G71" s="101" t="s">
        <v>387</v>
      </c>
      <c r="H71" s="100">
        <v>3.45</v>
      </c>
      <c r="I71" s="100"/>
      <c r="J71" s="102">
        <v>5.5800000000000001E-5</v>
      </c>
      <c r="K71" s="110" t="s">
        <v>57</v>
      </c>
      <c r="L71" s="112">
        <v>3.15</v>
      </c>
      <c r="M71" s="46">
        <v>3</v>
      </c>
      <c r="O71" s="195"/>
    </row>
    <row r="72" spans="2:15">
      <c r="B72" s="99" t="s">
        <v>53</v>
      </c>
      <c r="C72" s="100">
        <v>1510</v>
      </c>
      <c r="D72" s="100">
        <v>0.22500000000000001</v>
      </c>
      <c r="E72" s="100"/>
      <c r="F72" s="46">
        <v>5</v>
      </c>
      <c r="G72" s="101" t="s">
        <v>388</v>
      </c>
      <c r="H72" s="100">
        <v>5.52</v>
      </c>
      <c r="I72" s="100"/>
      <c r="J72" s="102">
        <v>1.98E-5</v>
      </c>
      <c r="K72" s="110" t="s">
        <v>57</v>
      </c>
      <c r="L72" s="100">
        <v>3.7</v>
      </c>
      <c r="M72" s="46">
        <v>5</v>
      </c>
      <c r="O72" s="195"/>
    </row>
    <row r="73" spans="2:15">
      <c r="B73" s="43" t="s">
        <v>598</v>
      </c>
      <c r="C73" s="77">
        <v>2530</v>
      </c>
      <c r="D73" s="77">
        <v>1.46</v>
      </c>
      <c r="E73" s="77">
        <v>800</v>
      </c>
      <c r="F73" s="155">
        <v>95</v>
      </c>
      <c r="G73" s="94" t="s">
        <v>606</v>
      </c>
      <c r="H73" s="77">
        <v>90.3</v>
      </c>
      <c r="I73" s="77">
        <v>0.24299999999999999</v>
      </c>
      <c r="J73" s="196" t="s">
        <v>602</v>
      </c>
      <c r="K73" s="197"/>
      <c r="L73" s="7"/>
      <c r="M73" s="13">
        <v>95</v>
      </c>
      <c r="O73" s="195"/>
    </row>
    <row r="74" spans="2:15">
      <c r="B74" s="43" t="s">
        <v>599</v>
      </c>
      <c r="C74" s="77">
        <v>2530</v>
      </c>
      <c r="D74" s="77">
        <v>1.46</v>
      </c>
      <c r="E74" s="77">
        <v>800</v>
      </c>
      <c r="F74" s="155">
        <v>95</v>
      </c>
      <c r="G74" s="94" t="s">
        <v>606</v>
      </c>
      <c r="H74" s="77">
        <v>90.3</v>
      </c>
      <c r="I74" s="77">
        <v>0.24299999999999999</v>
      </c>
      <c r="J74" s="196" t="s">
        <v>603</v>
      </c>
      <c r="K74" s="197"/>
      <c r="L74" s="7"/>
      <c r="M74" s="13">
        <v>95</v>
      </c>
      <c r="O74" s="195"/>
    </row>
    <row r="75" spans="2:15" ht="13.5" thickBot="1">
      <c r="B75" s="44" t="s">
        <v>600</v>
      </c>
      <c r="C75" s="198">
        <v>2530</v>
      </c>
      <c r="D75" s="198">
        <v>1.46</v>
      </c>
      <c r="E75" s="198">
        <v>800</v>
      </c>
      <c r="F75" s="200">
        <v>95</v>
      </c>
      <c r="G75" s="208" t="s">
        <v>606</v>
      </c>
      <c r="H75" s="198">
        <v>90.3</v>
      </c>
      <c r="I75" s="198">
        <v>0.24299999999999999</v>
      </c>
      <c r="J75" s="199" t="s">
        <v>604</v>
      </c>
      <c r="K75" s="109"/>
      <c r="L75" s="11"/>
      <c r="M75" s="114">
        <v>95</v>
      </c>
      <c r="O75" s="195"/>
    </row>
    <row r="77" spans="2:15">
      <c r="B77" s="79" t="s">
        <v>379</v>
      </c>
    </row>
    <row r="78" spans="2:15">
      <c r="B78" s="79" t="s">
        <v>411</v>
      </c>
    </row>
    <row r="79" spans="2:15">
      <c r="B79" s="79" t="s">
        <v>412</v>
      </c>
    </row>
    <row r="80" spans="2:15">
      <c r="B80" s="79" t="s">
        <v>413</v>
      </c>
    </row>
    <row r="81" spans="2:2">
      <c r="B81" s="79" t="s">
        <v>414</v>
      </c>
    </row>
    <row r="82" spans="2:2">
      <c r="B82" s="127" t="s">
        <v>555</v>
      </c>
    </row>
    <row r="83" spans="2:2">
      <c r="B83" s="127" t="s">
        <v>607</v>
      </c>
    </row>
    <row r="84" spans="2:2">
      <c r="B84" s="127" t="s">
        <v>699</v>
      </c>
    </row>
    <row r="85" spans="2:2">
      <c r="B85" s="127" t="s">
        <v>701</v>
      </c>
    </row>
  </sheetData>
  <mergeCells count="1">
    <mergeCell ref="G36:M36"/>
  </mergeCells>
  <phoneticPr fontId="0" type="noConversion"/>
  <hyperlinks>
    <hyperlink ref="F71" r:id="rId1" display="http://www.matweb.com/search/SpecificMaterial.asp?bassnum=P1SM50"/>
    <hyperlink ref="M71" r:id="rId2" display="http://www.matweb.com/search/SpecificMaterial.asp?bassnum=P1SM50"/>
    <hyperlink ref="M68" r:id="rId3" display="http://www.matweb.com/search/SpecificMaterial.asp?bassnum=MTP641"/>
    <hyperlink ref="M72" r:id="rId4" display="http://www.matweb.com/search/SpecificMaterial.asp?bassnum=P1SM51"/>
    <hyperlink ref="F72" r:id="rId5" display="http://www.matweb.com/search/SpecificMaterial.asp?bassnum=P1SM51"/>
    <hyperlink ref="M26" r:id="rId6" display="http://www.matweb.com/search/SpecificMaterial.asp?bassnum=PGLAM04"/>
    <hyperlink ref="F26" r:id="rId7" display="http://www.matweb.com/search/SpecificMaterial.asp?bassnum=PGLAM04"/>
    <hyperlink ref="F38" r:id="rId8" display="http://www.matweb.com/search/SpecificMaterial.asp?bassnum=NCALZ21"/>
    <hyperlink ref="M38" r:id="rId9"/>
    <hyperlink ref="F13" r:id="rId10"/>
    <hyperlink ref="M13" r:id="rId11"/>
    <hyperlink ref="F44" r:id="rId12" display="http://www.matweb.com/search/SpecificMaterial.asp?bassnum=O2120"/>
    <hyperlink ref="M44" r:id="rId13" display="http://www.matweb.com/search/SpecificMaterial.asp?bassnum=O2120"/>
    <hyperlink ref="F43" r:id="rId14" display="http://www.matweb.com/search/SpecificMaterial.asp?bassnum=O2130"/>
    <hyperlink ref="M43" r:id="rId15" display="http://www.matweb.com/search/SpecificMaterial.asp?bassnum=O2130"/>
    <hyperlink ref="M23" r:id="rId16" display="http://www.matweb.com/search/SpecificMaterial.asp?bassnum=NELG00"/>
    <hyperlink ref="F23" r:id="rId17" display="http://www.matweb.com/search/SpecificMaterial.asp?bassnum=NELG00"/>
    <hyperlink ref="M70" r:id="rId18" display="http://www.corning.com/semiconductoroptics/pdf/ule_2_page_spec_sheets.pdf"/>
    <hyperlink ref="F70" r:id="rId19" display="http://www.corning.com/semiconductoroptics/pdf/ule_2_page_spec_sheets.pdf"/>
    <hyperlink ref="M7" r:id="rId20" display="http://www.matweb.com/search/SpecificMaterial.asp?bassnum=C5MT04"/>
    <hyperlink ref="F7" r:id="rId21" display="http://www.matweb.com/search/SpecificMaterial.asp?bassnum=C5MT04"/>
    <hyperlink ref="M61" r:id="rId22" display="http://www.matweb.com/search/SpecificMaterial.asp?bassnum=MESi00"/>
    <hyperlink ref="M27" r:id="rId23" display="http://www.matweb.com/search/SpecificMaterial.asp?bassnum=DSEM87"/>
    <hyperlink ref="M63" r:id="rId24" display="http://www.matweb.com/search/SpecificMaterial.asp?bassnum=Q440CA"/>
    <hyperlink ref="M4" r:id="rId25" display="http://www.matweb.com/search/SpecificMaterial.asp?bassnum=MA6061T6"/>
    <hyperlink ref="M11" r:id="rId26" display="http://www.matweb.com/search/SpecificMaterial.asp?bassnum=MBEO30"/>
    <hyperlink ref="M3" r:id="rId27" display="http://www.matweb.com/search/SpecificMaterial.asp?bassnum=MA1100O"/>
    <hyperlink ref="M15" r:id="rId28" display="http://www.matweb.com/search/SpecificMaterial.asp?bassnum=MCUABA00"/>
    <hyperlink ref="M20" r:id="rId29" display="http://www.matweb.com/search/SpecificMaterial.asp?bassnum=MCUDAL03"/>
    <hyperlink ref="M10" r:id="rId30" display="http://www.matweb.com/search/SpecificMaterial.asp?bassnum=BBeOA"/>
    <hyperlink ref="M14" r:id="rId31" display="http://www.matweb.com/search/SpecificMaterial.asp?bassnum=MC102B"/>
    <hyperlink ref="M16" r:id="rId32" display="http://www.matweb.com/search/SpecificMaterial.asp?bassnum=MCUABP01"/>
    <hyperlink ref="M17" r:id="rId33" display="http://www.matweb.com/search/SpecificMaterial.asp?bassnum=MCUABS01"/>
    <hyperlink ref="M18" r:id="rId34" display="http://www.matweb.com/search/SpecificMaterial.asp?bassnum=MCUACV01"/>
    <hyperlink ref="M19" r:id="rId35" display="http://www.matweb.com/search/SpecificMaterial.asp?bassnum=MCUACW01"/>
    <hyperlink ref="M22" r:id="rId36" display="http://www.matweb.com/search/SpecificMaterial.asp?bassnum=P1SM03"/>
    <hyperlink ref="M28" r:id="rId37" display="http://www.matweb.com/search/SpecificMaterial.asp?bassnum=MEGe00"/>
    <hyperlink ref="M24" r:id="rId38" display="http://www.matweb.com/search/SpecificMaterial.asp?bassnum=BQUARTZ"/>
    <hyperlink ref="M32" r:id="rId39" display="http://www.matweb.com/search/SpecificMaterial.asp?bassnum=NCAR02"/>
    <hyperlink ref="M34" r:id="rId40" display="http://www.matweb.com/search/SpecificMaterial.asp?bassnum=PDUK04"/>
    <hyperlink ref="M35" r:id="rId41" display="http://www.matweb.com/search/SpecificMaterial.asp?bassnum=NCAR60"/>
    <hyperlink ref="M37" r:id="rId42" display="http://www.matweb.com/search/SpecificMaterial.asp?bassnum=MMAZ36"/>
    <hyperlink ref="M39" r:id="rId43" display="http://www.matweb.com/search/SpecificMaterial.asp?bassnum=MEMo01"/>
    <hyperlink ref="M40" r:id="rId44" display="http://www.matweb.com/search/SpecificMaterial.asp?bassnum=MRMo20"/>
    <hyperlink ref="M41" r:id="rId45" display="http://www.matweb.com/search/SpecificMaterial.asp?bassnum=CMYKROY00"/>
    <hyperlink ref="M42" r:id="rId46" display="http://www.matweb.com/search/SpecificMaterial.asp?bassnum=NINC10"/>
    <hyperlink ref="M31" r:id="rId47" display="http://www.matweb.com/search/SpecificMaterial.asp?bassnum=NINC34"/>
    <hyperlink ref="M45" r:id="rId48" display="http://www.matweb.com/search/SpecificMaterial.asp?bassnum=PGE979"/>
    <hyperlink ref="M46" r:id="rId49" display="http://www.matweb.com/search/SpecificMaterial.asp?bassnum=PGE977"/>
    <hyperlink ref="M48" r:id="rId50" display="http://www.matweb.com/search/SpecificMaterial.asp?bassnum=PGE982"/>
    <hyperlink ref="M47" r:id="rId51" display="http://www.matweb.com/search/SpecificMaterial.asp?bassnum=PGE978"/>
    <hyperlink ref="F47" r:id="rId52" display="http://www.matweb.com/search/SpecificMaterial.asp?bassnum=PGE978"/>
    <hyperlink ref="M62" r:id="rId53" display="http://www.matweb.com/search/SpecificMaterial.asp?bassnum=Q304A"/>
    <hyperlink ref="M65" r:id="rId54" display="http://www.matweb.com/search/SpecificMaterial.asp?bassnum=METa01"/>
    <hyperlink ref="M66" r:id="rId55" display="http://www.matweb.com/search/SpecificMaterial.asp?bassnum=PDU923"/>
    <hyperlink ref="M67" r:id="rId56" display="http://www.matweb.com/search/SpecificMaterial.asp?bassnum=O1902"/>
    <hyperlink ref="M69" r:id="rId57" display="http://www.matweb.com/search/SpecificMaterial.asp?bassnum=MEW000"/>
    <hyperlink ref="M51" r:id="rId58" display="http://optics.nasa.gov/tech_days/tech_days_2002/docs/31XineticsLargeLowTemperatureSiliconCarbideMirrors.pdf"/>
    <hyperlink ref="F51" r:id="rId59" display="http://optics.nasa.gov/tech_days/tech_days_2002/docs/31XineticsLargeLowTemperatureSiliconCarbideMirrors.pdf"/>
    <hyperlink ref="F64" r:id="rId60" display="http://www.matweb.com/search/SpecificMaterial.asp?bassnum=Q660AC"/>
    <hyperlink ref="M64" r:id="rId61" display="http://www.matweb.com/search/SpecificMaterial.asp?bassnum=Q660AC"/>
    <hyperlink ref="F49" r:id="rId62" display="http://snap.lbl.gov/bscw/bscw.cgi/d135747/POCO-Property Table for SuperSiC Rev.doc"/>
    <hyperlink ref="F54" r:id="rId63" display="http://www.coorstek.com/resources/8510-1024sicmfgsemi.pdf"/>
    <hyperlink ref="F52" r:id="rId64" display="http://www.coorstek.com/resources/8510-1024sicmfgsemi.pdf"/>
    <hyperlink ref="F56" r:id="rId65" display="http://www.coorstek.com/resources/8510-1024sicmfgsemi.pdf"/>
    <hyperlink ref="M52" r:id="rId66" display="http://www.coorstek.com/resources/8510-1024sicmfgsemi.pdf"/>
    <hyperlink ref="M54" r:id="rId67" display="http://www.coorstek.com/resources/8510-1024sicmfgsemi.pdf"/>
    <hyperlink ref="M56" r:id="rId68" display="http://www.coorstek.com/resources/8510-1024sicmfgsemi.pdf"/>
    <hyperlink ref="F55" r:id="rId69" display="http://www.boostec.com/SiCTypicalCharacteristics.pdf"/>
    <hyperlink ref="M55" r:id="rId70" display="http://www.boostec.com/SiCTypicalCharacteristics.pdf"/>
    <hyperlink ref="F53" r:id="rId71" display="http://www.rohmhaas.com/cvdmaterials/CVD_Sil_Carbide/Prop_TypValue.html"/>
    <hyperlink ref="M53" r:id="rId72" display="http://www.rohmhaas.com/cvdmaterials/CVD_Sil_Carbide/Prop_TypValue.html"/>
    <hyperlink ref="F57" r:id="rId73" display="http://snap.lbl.gov/bscw/bscw.cgi/d136917/SSG SiC Overview SNAP.pdf"/>
    <hyperlink ref="M57" r:id="rId74" display="http://snap.lbl.gov/bscw/bscw.cgi/d136917/SSG SiC Overview SNAP.pdf"/>
    <hyperlink ref="F58" r:id="rId75" display="http://snap.lbl.gov/bscw/bscw.cgi/d135424/IBCOL-SCI-2004.pdf"/>
    <hyperlink ref="M58" r:id="rId76" display="http://snap.lbl.gov/bscw/bscw.cgi/d135424/IBCOL-SCI-2004.pdf"/>
    <hyperlink ref="F50" r:id="rId77" display="http://snap.lbl.gov/bscw/bscw.cgi/d135747/POCO-Property Table for SuperSiC Rev.doc"/>
    <hyperlink ref="M50" r:id="rId78" display="http://snap.lbl.gov/bscw/bscw.cgi/d135747/POCO-Property Table for SuperSiC Rev.doc"/>
    <hyperlink ref="M49" r:id="rId79" display="http://snap.lbl.gov/bscw/bscw.cgi/d135747/POCO-Property Table for SuperSiC Rev.doc"/>
    <hyperlink ref="F59" r:id="rId80" display="http://snap.lbl.gov/bscw/bscw.cgi/d135954/SNAP presentation 6-22-05.pps"/>
    <hyperlink ref="M59" r:id="rId81" display="http://snap.lbl.gov/bscw/bscw.cgi/d135954/SNAP presentation 6-22-05.pps"/>
    <hyperlink ref="F73" r:id="rId82" display="http://www.us.schott.com/optics_devices/english/products/zerodur/index.html"/>
    <hyperlink ref="M73" r:id="rId83" display="http://www.us.schott.com/optics_devices/english/products/zerodur/index.html"/>
    <hyperlink ref="F74:F75" r:id="rId84" display="http://www.us.schott.com/optics_devices/english/products/zerodur/index.html"/>
    <hyperlink ref="M74:M75" r:id="rId85" display="http://www.us.schott.com/optics_devices/english/products/zerodur/index.html"/>
    <hyperlink ref="M5" r:id="rId86" display="http://www.matweb.com/search/SpecificMaterial.asp?bassnum=MA6063T5"/>
    <hyperlink ref="F60" r:id="rId87" display="http://www.cesic.de/prospekte/cesic_mf_data_en.pdf"/>
    <hyperlink ref="M60" r:id="rId88" display="http://www.cesic.de/prospekte/cesic_mf_data_en.pdf"/>
    <hyperlink ref="M21" r:id="rId89" display="http://www.matweb.com/search/SpecificMaterial.asp?bassnum=NCMW39"/>
    <hyperlink ref="F21" r:id="rId90" display="http://www.cmwinc.com/metals/metalsframe.html"/>
    <hyperlink ref="F6" r:id="rId91" display="http://www.berylliumproducts.com/web/bpdweb.nsf/AllDocsByID/8D86FFC3AC93EBD985256F26004C8B7E/$File/AlBeMet+Properties+Catalog.pps"/>
    <hyperlink ref="M6" r:id="rId92" display="http://www.berylliumproducts.com/web/bpdweb.nsf/AllDocsByID/8D86FFC3AC93EBD985256F26004C8B7E/$File/AlBeMet+Properties+Catalog.pps"/>
    <hyperlink ref="M25" r:id="rId93" display="http://www.corning.com/docs/specialtymaterials/pisheets/H0607_hpfs_Standard_ProductSheet.pdf"/>
    <hyperlink ref="F25" r:id="rId94" display="http://www.corning.com/docs/specialtymaterials/pisheets/H0607_hpfs_Standard_ProductSheet.pdf"/>
  </hyperlinks>
  <pageMargins left="0.75" right="0.75" top="1" bottom="1" header="0.5" footer="0.5"/>
  <pageSetup scale="85" fitToHeight="3" orientation="landscape" r:id="rId9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1:F136"/>
  <sheetViews>
    <sheetView workbookViewId="0"/>
  </sheetViews>
  <sheetFormatPr defaultRowHeight="12.75"/>
  <cols>
    <col min="1" max="1" width="1.7109375" customWidth="1"/>
    <col min="2" max="2" width="67.7109375" bestFit="1" customWidth="1"/>
    <col min="3" max="3" width="11.7109375" bestFit="1" customWidth="1"/>
    <col min="4" max="4" width="11.140625" bestFit="1" customWidth="1"/>
    <col min="5" max="5" width="11.140625" customWidth="1"/>
    <col min="6" max="6" width="10.28515625" bestFit="1" customWidth="1"/>
  </cols>
  <sheetData>
    <row r="1" spans="2:6" ht="13.5" thickBot="1"/>
    <row r="2" spans="2:6" ht="26.25" customHeight="1" thickBot="1">
      <c r="B2" s="1" t="s">
        <v>0</v>
      </c>
      <c r="C2" s="2" t="s">
        <v>264</v>
      </c>
      <c r="D2" s="2" t="s">
        <v>265</v>
      </c>
      <c r="E2" s="2" t="s">
        <v>266</v>
      </c>
      <c r="F2" s="53" t="s">
        <v>43</v>
      </c>
    </row>
    <row r="3" spans="2:6">
      <c r="B3" s="56" t="s">
        <v>153</v>
      </c>
      <c r="C3" s="50">
        <v>0.97</v>
      </c>
      <c r="D3" s="50">
        <v>0.84</v>
      </c>
      <c r="E3" s="51">
        <f t="shared" ref="E3:E34" si="0">C3/D3</f>
        <v>1.1547619047619049</v>
      </c>
      <c r="F3" s="52">
        <v>51</v>
      </c>
    </row>
    <row r="4" spans="2:6">
      <c r="B4" s="43" t="s">
        <v>152</v>
      </c>
      <c r="C4" s="7">
        <v>0.97</v>
      </c>
      <c r="D4" s="7">
        <v>0.91</v>
      </c>
      <c r="E4" s="47">
        <f t="shared" si="0"/>
        <v>1.0659340659340659</v>
      </c>
      <c r="F4" s="52">
        <v>51</v>
      </c>
    </row>
    <row r="5" spans="2:6">
      <c r="B5" s="43" t="s">
        <v>154</v>
      </c>
      <c r="C5" s="7">
        <v>0.97</v>
      </c>
      <c r="D5" s="7">
        <v>0.84</v>
      </c>
      <c r="E5" s="47">
        <f t="shared" si="0"/>
        <v>1.1547619047619049</v>
      </c>
      <c r="F5" s="52">
        <v>51</v>
      </c>
    </row>
    <row r="6" spans="2:6">
      <c r="B6" s="43" t="s">
        <v>174</v>
      </c>
      <c r="C6" s="7">
        <v>0.12</v>
      </c>
      <c r="D6" s="7">
        <v>0.2</v>
      </c>
      <c r="E6" s="47">
        <f t="shared" si="0"/>
        <v>0.6</v>
      </c>
      <c r="F6" s="52">
        <v>51</v>
      </c>
    </row>
    <row r="7" spans="2:6">
      <c r="B7" s="43" t="s">
        <v>173</v>
      </c>
      <c r="C7" s="7">
        <v>0.12</v>
      </c>
      <c r="D7" s="7">
        <v>0.2</v>
      </c>
      <c r="E7" s="47">
        <f t="shared" si="0"/>
        <v>0.6</v>
      </c>
      <c r="F7" s="52">
        <v>51</v>
      </c>
    </row>
    <row r="8" spans="2:6">
      <c r="B8" s="43" t="s">
        <v>172</v>
      </c>
      <c r="C8" s="7">
        <v>0.28000000000000003</v>
      </c>
      <c r="D8" s="7">
        <v>0.24</v>
      </c>
      <c r="E8" s="47">
        <f t="shared" si="0"/>
        <v>1.1666666666666667</v>
      </c>
      <c r="F8" s="52">
        <v>51</v>
      </c>
    </row>
    <row r="9" spans="2:6">
      <c r="B9" s="43" t="s">
        <v>171</v>
      </c>
      <c r="C9" s="7">
        <v>0.12</v>
      </c>
      <c r="D9" s="7">
        <v>0.18</v>
      </c>
      <c r="E9" s="47">
        <f t="shared" si="0"/>
        <v>0.66666666666666663</v>
      </c>
      <c r="F9" s="52">
        <v>51</v>
      </c>
    </row>
    <row r="10" spans="2:6">
      <c r="B10" s="43" t="s">
        <v>176</v>
      </c>
      <c r="C10" s="7">
        <v>0.22</v>
      </c>
      <c r="D10" s="7">
        <v>0.33</v>
      </c>
      <c r="E10" s="47">
        <f t="shared" si="0"/>
        <v>0.66666666666666663</v>
      </c>
      <c r="F10" s="52">
        <v>51</v>
      </c>
    </row>
    <row r="11" spans="2:6">
      <c r="B11" s="43" t="s">
        <v>175</v>
      </c>
      <c r="C11" s="7">
        <v>0.11</v>
      </c>
      <c r="D11" s="7">
        <v>0.33</v>
      </c>
      <c r="E11" s="47">
        <f t="shared" si="0"/>
        <v>0.33333333333333331</v>
      </c>
      <c r="F11" s="52">
        <v>51</v>
      </c>
    </row>
    <row r="12" spans="2:6">
      <c r="B12" s="43" t="s">
        <v>155</v>
      </c>
      <c r="C12" s="7">
        <v>0.23</v>
      </c>
      <c r="D12" s="7">
        <v>0.24</v>
      </c>
      <c r="E12" s="47">
        <f t="shared" si="0"/>
        <v>0.95833333333333337</v>
      </c>
      <c r="F12" s="52">
        <v>51</v>
      </c>
    </row>
    <row r="13" spans="2:6">
      <c r="B13" s="43" t="s">
        <v>156</v>
      </c>
      <c r="C13" s="7">
        <v>0.25</v>
      </c>
      <c r="D13" s="7">
        <v>0.34</v>
      </c>
      <c r="E13" s="47">
        <f t="shared" si="0"/>
        <v>0.73529411764705876</v>
      </c>
      <c r="F13" s="52">
        <v>51</v>
      </c>
    </row>
    <row r="14" spans="2:6">
      <c r="B14" s="43" t="s">
        <v>157</v>
      </c>
      <c r="C14" s="7">
        <v>0.31</v>
      </c>
      <c r="D14" s="7">
        <v>0.45</v>
      </c>
      <c r="E14" s="47">
        <f t="shared" si="0"/>
        <v>0.68888888888888888</v>
      </c>
      <c r="F14" s="52">
        <v>51</v>
      </c>
    </row>
    <row r="15" spans="2:6">
      <c r="B15" s="43" t="s">
        <v>158</v>
      </c>
      <c r="C15" s="7">
        <v>0.34</v>
      </c>
      <c r="D15" s="7">
        <v>0.55000000000000004</v>
      </c>
      <c r="E15" s="47">
        <f t="shared" si="0"/>
        <v>0.61818181818181817</v>
      </c>
      <c r="F15" s="52">
        <v>51</v>
      </c>
    </row>
    <row r="16" spans="2:6">
      <c r="B16" s="43" t="s">
        <v>160</v>
      </c>
      <c r="C16" s="7">
        <v>0.54</v>
      </c>
      <c r="D16" s="7">
        <v>0.61</v>
      </c>
      <c r="E16" s="47">
        <f t="shared" si="0"/>
        <v>0.88524590163934436</v>
      </c>
      <c r="F16" s="52">
        <v>51</v>
      </c>
    </row>
    <row r="17" spans="2:6">
      <c r="B17" s="43" t="s">
        <v>161</v>
      </c>
      <c r="C17" s="7">
        <v>0.66</v>
      </c>
      <c r="D17" s="7">
        <v>0.61</v>
      </c>
      <c r="E17" s="47">
        <f t="shared" si="0"/>
        <v>1.0819672131147542</v>
      </c>
      <c r="F17" s="52">
        <v>51</v>
      </c>
    </row>
    <row r="18" spans="2:6">
      <c r="B18" s="43" t="s">
        <v>159</v>
      </c>
      <c r="C18" s="7">
        <v>0.36</v>
      </c>
      <c r="D18" s="7">
        <v>0.61</v>
      </c>
      <c r="E18" s="47">
        <f t="shared" si="0"/>
        <v>0.5901639344262295</v>
      </c>
      <c r="F18" s="52">
        <v>51</v>
      </c>
    </row>
    <row r="19" spans="2:6">
      <c r="B19" s="43" t="s">
        <v>166</v>
      </c>
      <c r="C19" s="7">
        <v>0.47</v>
      </c>
      <c r="D19" s="7">
        <v>0.75</v>
      </c>
      <c r="E19" s="47">
        <f t="shared" si="0"/>
        <v>0.62666666666666659</v>
      </c>
      <c r="F19" s="52">
        <v>51</v>
      </c>
    </row>
    <row r="20" spans="2:6">
      <c r="B20" s="43" t="s">
        <v>165</v>
      </c>
      <c r="C20" s="7">
        <v>0.34</v>
      </c>
      <c r="D20" s="7">
        <v>0.75</v>
      </c>
      <c r="E20" s="47">
        <f t="shared" si="0"/>
        <v>0.45333333333333337</v>
      </c>
      <c r="F20" s="52">
        <v>51</v>
      </c>
    </row>
    <row r="21" spans="2:6">
      <c r="B21" s="43" t="s">
        <v>163</v>
      </c>
      <c r="C21" s="7">
        <v>0.55000000000000004</v>
      </c>
      <c r="D21" s="7">
        <v>0.73</v>
      </c>
      <c r="E21" s="47">
        <f t="shared" si="0"/>
        <v>0.7534246575342467</v>
      </c>
      <c r="F21" s="52">
        <v>51</v>
      </c>
    </row>
    <row r="22" spans="2:6">
      <c r="B22" s="43" t="s">
        <v>164</v>
      </c>
      <c r="C22" s="7">
        <v>0.67</v>
      </c>
      <c r="D22" s="7">
        <v>0.73</v>
      </c>
      <c r="E22" s="47">
        <f t="shared" si="0"/>
        <v>0.91780821917808231</v>
      </c>
      <c r="F22" s="52">
        <v>51</v>
      </c>
    </row>
    <row r="23" spans="2:6">
      <c r="B23" s="43" t="s">
        <v>162</v>
      </c>
      <c r="C23" s="7">
        <v>0.39</v>
      </c>
      <c r="D23" s="7">
        <v>0.73</v>
      </c>
      <c r="E23" s="47">
        <f t="shared" si="0"/>
        <v>0.53424657534246578</v>
      </c>
      <c r="F23" s="52">
        <v>51</v>
      </c>
    </row>
    <row r="24" spans="2:6">
      <c r="B24" s="43" t="s">
        <v>167</v>
      </c>
      <c r="C24" s="7">
        <v>0.45</v>
      </c>
      <c r="D24" s="7">
        <v>0.82</v>
      </c>
      <c r="E24" s="47">
        <f t="shared" si="0"/>
        <v>0.54878048780487809</v>
      </c>
      <c r="F24" s="52">
        <v>51</v>
      </c>
    </row>
    <row r="25" spans="2:6">
      <c r="B25" s="43" t="s">
        <v>169</v>
      </c>
      <c r="C25" s="7">
        <v>0.61</v>
      </c>
      <c r="D25" s="7">
        <v>0.83</v>
      </c>
      <c r="E25" s="47">
        <f t="shared" si="0"/>
        <v>0.73493975903614461</v>
      </c>
      <c r="F25" s="52">
        <v>51</v>
      </c>
    </row>
    <row r="26" spans="2:6">
      <c r="B26" s="43" t="s">
        <v>168</v>
      </c>
      <c r="C26" s="7">
        <v>0.49</v>
      </c>
      <c r="D26" s="7">
        <v>0.83</v>
      </c>
      <c r="E26" s="47">
        <f t="shared" si="0"/>
        <v>0.59036144578313254</v>
      </c>
      <c r="F26" s="52">
        <v>51</v>
      </c>
    </row>
    <row r="27" spans="2:6">
      <c r="B27" s="43" t="s">
        <v>170</v>
      </c>
      <c r="C27" s="7">
        <v>0.7</v>
      </c>
      <c r="D27" s="7">
        <v>0.86</v>
      </c>
      <c r="E27" s="47">
        <f t="shared" si="0"/>
        <v>0.81395348837209303</v>
      </c>
      <c r="F27" s="52">
        <v>51</v>
      </c>
    </row>
    <row r="28" spans="2:6">
      <c r="B28" s="43" t="s">
        <v>133</v>
      </c>
      <c r="C28" s="7">
        <v>0.14000000000000001</v>
      </c>
      <c r="D28" s="7">
        <v>0.4</v>
      </c>
      <c r="E28" s="47">
        <f t="shared" si="0"/>
        <v>0.35000000000000003</v>
      </c>
      <c r="F28" s="52">
        <v>51</v>
      </c>
    </row>
    <row r="29" spans="2:6">
      <c r="B29" s="43" t="s">
        <v>134</v>
      </c>
      <c r="C29" s="7">
        <v>0.14000000000000001</v>
      </c>
      <c r="D29" s="7">
        <v>0.48</v>
      </c>
      <c r="E29" s="47">
        <f t="shared" si="0"/>
        <v>0.29166666666666669</v>
      </c>
      <c r="F29" s="52">
        <v>51</v>
      </c>
    </row>
    <row r="30" spans="2:6">
      <c r="B30" s="43" t="s">
        <v>137</v>
      </c>
      <c r="C30" s="7">
        <v>0.13</v>
      </c>
      <c r="D30" s="7">
        <v>0.87</v>
      </c>
      <c r="E30" s="47">
        <f t="shared" si="0"/>
        <v>0.14942528735632185</v>
      </c>
      <c r="F30" s="52">
        <v>51</v>
      </c>
    </row>
    <row r="31" spans="2:6">
      <c r="B31" s="43" t="s">
        <v>135</v>
      </c>
      <c r="C31" s="7">
        <v>0.14000000000000001</v>
      </c>
      <c r="D31" s="7">
        <v>0.6</v>
      </c>
      <c r="E31" s="47">
        <f t="shared" si="0"/>
        <v>0.23333333333333336</v>
      </c>
      <c r="F31" s="52">
        <v>51</v>
      </c>
    </row>
    <row r="32" spans="2:6">
      <c r="B32" s="43" t="s">
        <v>136</v>
      </c>
      <c r="C32" s="7">
        <v>0.17</v>
      </c>
      <c r="D32" s="7">
        <v>0.77</v>
      </c>
      <c r="E32" s="47">
        <f t="shared" si="0"/>
        <v>0.2207792207792208</v>
      </c>
      <c r="F32" s="52">
        <v>51</v>
      </c>
    </row>
    <row r="33" spans="2:6">
      <c r="B33" s="43" t="s">
        <v>138</v>
      </c>
      <c r="C33" s="7">
        <v>0.15</v>
      </c>
      <c r="D33" s="7">
        <v>0.8</v>
      </c>
      <c r="E33" s="47">
        <f t="shared" si="0"/>
        <v>0.18749999999999997</v>
      </c>
      <c r="F33" s="52">
        <v>51</v>
      </c>
    </row>
    <row r="34" spans="2:6">
      <c r="B34" s="43" t="s">
        <v>247</v>
      </c>
      <c r="C34" s="7">
        <v>0.13</v>
      </c>
      <c r="D34" s="7">
        <v>0.23</v>
      </c>
      <c r="E34" s="47">
        <f t="shared" si="0"/>
        <v>0.56521739130434778</v>
      </c>
      <c r="F34" s="52">
        <v>51</v>
      </c>
    </row>
    <row r="35" spans="2:6">
      <c r="B35" s="43" t="s">
        <v>246</v>
      </c>
      <c r="C35" s="7">
        <v>0.13</v>
      </c>
      <c r="D35" s="7">
        <v>0.23</v>
      </c>
      <c r="E35" s="47">
        <f t="shared" ref="E35:E66" si="1">C35/D35</f>
        <v>0.56521739130434778</v>
      </c>
      <c r="F35" s="52">
        <v>51</v>
      </c>
    </row>
    <row r="36" spans="2:6">
      <c r="B36" s="43" t="s">
        <v>248</v>
      </c>
      <c r="C36" s="7">
        <v>0.12</v>
      </c>
      <c r="D36" s="7">
        <v>0.24</v>
      </c>
      <c r="E36" s="47">
        <f t="shared" si="1"/>
        <v>0.5</v>
      </c>
      <c r="F36" s="52">
        <v>51</v>
      </c>
    </row>
    <row r="37" spans="2:6">
      <c r="B37" s="43" t="s">
        <v>195</v>
      </c>
      <c r="C37" s="7">
        <v>0.16</v>
      </c>
      <c r="D37" s="7">
        <v>0.03</v>
      </c>
      <c r="E37" s="47">
        <f t="shared" si="1"/>
        <v>5.3333333333333339</v>
      </c>
      <c r="F37" s="52">
        <v>51</v>
      </c>
    </row>
    <row r="38" spans="2:6">
      <c r="B38" s="43" t="s">
        <v>196</v>
      </c>
      <c r="C38" s="7">
        <v>0.13</v>
      </c>
      <c r="D38" s="7">
        <v>0.3</v>
      </c>
      <c r="E38" s="47">
        <f t="shared" si="1"/>
        <v>0.43333333333333335</v>
      </c>
      <c r="F38" s="52">
        <v>51</v>
      </c>
    </row>
    <row r="39" spans="2:6">
      <c r="B39" s="43" t="s">
        <v>197</v>
      </c>
      <c r="C39" s="7">
        <v>0.15</v>
      </c>
      <c r="D39" s="7">
        <v>0.05</v>
      </c>
      <c r="E39" s="47">
        <f t="shared" si="1"/>
        <v>2.9999999999999996</v>
      </c>
      <c r="F39" s="52">
        <v>51</v>
      </c>
    </row>
    <row r="40" spans="2:6">
      <c r="B40" s="43" t="s">
        <v>198</v>
      </c>
      <c r="C40" s="7">
        <v>0.15</v>
      </c>
      <c r="D40" s="7">
        <v>0.05</v>
      </c>
      <c r="E40" s="47">
        <f t="shared" si="1"/>
        <v>2.9999999999999996</v>
      </c>
      <c r="F40" s="52">
        <v>51</v>
      </c>
    </row>
    <row r="41" spans="2:6">
      <c r="B41" s="43" t="s">
        <v>199</v>
      </c>
      <c r="C41" s="7">
        <v>0.08</v>
      </c>
      <c r="D41" s="7">
        <v>0.02</v>
      </c>
      <c r="E41" s="47">
        <f t="shared" si="1"/>
        <v>4</v>
      </c>
      <c r="F41" s="52">
        <v>51</v>
      </c>
    </row>
    <row r="42" spans="2:6">
      <c r="B42" s="43" t="s">
        <v>245</v>
      </c>
      <c r="C42" s="7">
        <v>0.7</v>
      </c>
      <c r="D42" s="7">
        <v>0.1</v>
      </c>
      <c r="E42" s="47">
        <f t="shared" si="1"/>
        <v>6.9999999999999991</v>
      </c>
      <c r="F42" s="52">
        <v>51</v>
      </c>
    </row>
    <row r="43" spans="2:6">
      <c r="B43" s="43" t="s">
        <v>244</v>
      </c>
      <c r="C43" s="7">
        <v>0.7</v>
      </c>
      <c r="D43" s="7">
        <v>0.1</v>
      </c>
      <c r="E43" s="47">
        <f t="shared" si="1"/>
        <v>6.9999999999999991</v>
      </c>
      <c r="F43" s="52">
        <v>51</v>
      </c>
    </row>
    <row r="44" spans="2:6">
      <c r="B44" s="43" t="s">
        <v>260</v>
      </c>
      <c r="C44" s="7">
        <v>0.22</v>
      </c>
      <c r="D44" s="7">
        <v>0.8</v>
      </c>
      <c r="E44" s="47">
        <f t="shared" si="1"/>
        <v>0.27499999999999997</v>
      </c>
      <c r="F44" s="52">
        <v>51</v>
      </c>
    </row>
    <row r="45" spans="2:6">
      <c r="B45" s="43" t="s">
        <v>200</v>
      </c>
      <c r="C45" s="7">
        <v>0.31</v>
      </c>
      <c r="D45" s="7">
        <v>0.03</v>
      </c>
      <c r="E45" s="47">
        <f t="shared" si="1"/>
        <v>10.333333333333334</v>
      </c>
      <c r="F45" s="52">
        <v>51</v>
      </c>
    </row>
    <row r="46" spans="2:6">
      <c r="B46" s="43" t="s">
        <v>261</v>
      </c>
      <c r="C46" s="7">
        <v>0.4</v>
      </c>
      <c r="D46" s="7">
        <v>0.86</v>
      </c>
      <c r="E46" s="47">
        <f t="shared" si="1"/>
        <v>0.46511627906976749</v>
      </c>
      <c r="F46" s="52">
        <v>51</v>
      </c>
    </row>
    <row r="47" spans="2:6">
      <c r="B47" s="43" t="s">
        <v>235</v>
      </c>
      <c r="C47" s="7">
        <v>0.76</v>
      </c>
      <c r="D47" s="7">
        <v>0.88</v>
      </c>
      <c r="E47" s="47">
        <f t="shared" si="1"/>
        <v>0.86363636363636365</v>
      </c>
      <c r="F47" s="52">
        <v>51</v>
      </c>
    </row>
    <row r="48" spans="2:6">
      <c r="B48" s="43" t="s">
        <v>181</v>
      </c>
      <c r="C48" s="7">
        <v>0.89</v>
      </c>
      <c r="D48" s="7">
        <v>0.88</v>
      </c>
      <c r="E48" s="47">
        <f t="shared" si="1"/>
        <v>1.0113636363636365</v>
      </c>
      <c r="F48" s="52">
        <v>51</v>
      </c>
    </row>
    <row r="49" spans="2:6">
      <c r="B49" s="43" t="s">
        <v>180</v>
      </c>
      <c r="C49" s="7">
        <v>0.92</v>
      </c>
      <c r="D49" s="7">
        <v>0.88</v>
      </c>
      <c r="E49" s="47">
        <f t="shared" si="1"/>
        <v>1.0454545454545454</v>
      </c>
      <c r="F49" s="52">
        <v>51</v>
      </c>
    </row>
    <row r="50" spans="2:6">
      <c r="B50" s="43" t="s">
        <v>179</v>
      </c>
      <c r="C50" s="7">
        <v>0.92</v>
      </c>
      <c r="D50" s="7">
        <v>0.88</v>
      </c>
      <c r="E50" s="47">
        <f t="shared" si="1"/>
        <v>1.0454545454545454</v>
      </c>
      <c r="F50" s="52">
        <v>51</v>
      </c>
    </row>
    <row r="51" spans="2:6">
      <c r="B51" s="43" t="s">
        <v>236</v>
      </c>
      <c r="C51" s="7">
        <v>0.53</v>
      </c>
      <c r="D51" s="7">
        <v>0.82</v>
      </c>
      <c r="E51" s="47">
        <f t="shared" si="1"/>
        <v>0.64634146341463417</v>
      </c>
      <c r="F51" s="52">
        <v>51</v>
      </c>
    </row>
    <row r="52" spans="2:6">
      <c r="B52" s="43" t="s">
        <v>145</v>
      </c>
      <c r="C52" s="7">
        <v>0.96</v>
      </c>
      <c r="D52" s="7">
        <v>0.88</v>
      </c>
      <c r="E52" s="47">
        <f t="shared" si="1"/>
        <v>1.0909090909090908</v>
      </c>
      <c r="F52" s="52">
        <v>51</v>
      </c>
    </row>
    <row r="53" spans="2:6">
      <c r="B53" s="43" t="s">
        <v>186</v>
      </c>
      <c r="C53" s="7">
        <v>0.24</v>
      </c>
      <c r="D53" s="7">
        <v>0.9</v>
      </c>
      <c r="E53" s="47">
        <f t="shared" si="1"/>
        <v>0.26666666666666666</v>
      </c>
      <c r="F53" s="52">
        <v>51</v>
      </c>
    </row>
    <row r="54" spans="2:6">
      <c r="B54" s="43" t="s">
        <v>189</v>
      </c>
      <c r="C54" s="7">
        <v>0.35</v>
      </c>
      <c r="D54" s="7">
        <v>0.88</v>
      </c>
      <c r="E54" s="47">
        <f t="shared" si="1"/>
        <v>0.39772727272727271</v>
      </c>
      <c r="F54" s="52">
        <v>51</v>
      </c>
    </row>
    <row r="55" spans="2:6">
      <c r="B55" s="43" t="s">
        <v>188</v>
      </c>
      <c r="C55" s="7">
        <v>0.6</v>
      </c>
      <c r="D55" s="7">
        <v>0.88</v>
      </c>
      <c r="E55" s="47">
        <f t="shared" si="1"/>
        <v>0.68181818181818177</v>
      </c>
      <c r="F55" s="52">
        <v>51</v>
      </c>
    </row>
    <row r="56" spans="2:6">
      <c r="B56" s="43" t="s">
        <v>187</v>
      </c>
      <c r="C56" s="7">
        <v>0.23</v>
      </c>
      <c r="D56" s="7">
        <v>0.88</v>
      </c>
      <c r="E56" s="47">
        <f t="shared" si="1"/>
        <v>0.26136363636363635</v>
      </c>
      <c r="F56" s="52">
        <v>51</v>
      </c>
    </row>
    <row r="57" spans="2:6">
      <c r="B57" s="43" t="s">
        <v>146</v>
      </c>
      <c r="C57" s="7">
        <v>0.96</v>
      </c>
      <c r="D57" s="7">
        <v>0.91</v>
      </c>
      <c r="E57" s="47">
        <f t="shared" si="1"/>
        <v>1.054945054945055</v>
      </c>
      <c r="F57" s="52">
        <v>51</v>
      </c>
    </row>
    <row r="58" spans="2:6">
      <c r="B58" s="43" t="s">
        <v>147</v>
      </c>
      <c r="C58" s="7">
        <v>0.96</v>
      </c>
      <c r="D58" s="7">
        <v>0.84</v>
      </c>
      <c r="E58" s="47">
        <f t="shared" si="1"/>
        <v>1.1428571428571428</v>
      </c>
      <c r="F58" s="52">
        <v>51</v>
      </c>
    </row>
    <row r="59" spans="2:6">
      <c r="B59" s="43" t="s">
        <v>202</v>
      </c>
      <c r="C59" s="7">
        <v>0.56999999999999995</v>
      </c>
      <c r="D59" s="7">
        <v>0.24</v>
      </c>
      <c r="E59" s="47">
        <f t="shared" si="1"/>
        <v>2.375</v>
      </c>
      <c r="F59" s="52">
        <v>51</v>
      </c>
    </row>
    <row r="60" spans="2:6">
      <c r="B60" s="43" t="s">
        <v>201</v>
      </c>
      <c r="C60" s="7">
        <v>0.56000000000000005</v>
      </c>
      <c r="D60" s="7">
        <v>0.17</v>
      </c>
      <c r="E60" s="47">
        <f t="shared" si="1"/>
        <v>3.2941176470588238</v>
      </c>
      <c r="F60" s="52">
        <v>51</v>
      </c>
    </row>
    <row r="61" spans="2:6">
      <c r="B61" s="43" t="s">
        <v>237</v>
      </c>
      <c r="C61" s="7">
        <v>0.35</v>
      </c>
      <c r="D61" s="7">
        <v>0.84</v>
      </c>
      <c r="E61" s="47">
        <f t="shared" si="1"/>
        <v>0.41666666666666663</v>
      </c>
      <c r="F61" s="52">
        <v>51</v>
      </c>
    </row>
    <row r="62" spans="2:6">
      <c r="B62" s="43" t="s">
        <v>203</v>
      </c>
      <c r="C62" s="7">
        <v>0.37</v>
      </c>
      <c r="D62" s="7">
        <v>0.09</v>
      </c>
      <c r="E62" s="47">
        <f t="shared" si="1"/>
        <v>4.1111111111111116</v>
      </c>
      <c r="F62" s="52">
        <v>51</v>
      </c>
    </row>
    <row r="63" spans="2:6">
      <c r="B63" s="43" t="s">
        <v>205</v>
      </c>
      <c r="C63" s="7">
        <v>0.32</v>
      </c>
      <c r="D63" s="7">
        <v>0.02</v>
      </c>
      <c r="E63" s="47">
        <f t="shared" si="1"/>
        <v>16</v>
      </c>
      <c r="F63" s="52">
        <v>51</v>
      </c>
    </row>
    <row r="64" spans="2:6">
      <c r="B64" s="43" t="s">
        <v>206</v>
      </c>
      <c r="C64" s="7">
        <v>0.26</v>
      </c>
      <c r="D64" s="7">
        <v>0.04</v>
      </c>
      <c r="E64" s="47">
        <f t="shared" si="1"/>
        <v>6.5</v>
      </c>
      <c r="F64" s="52">
        <v>51</v>
      </c>
    </row>
    <row r="65" spans="2:6">
      <c r="B65" s="43" t="s">
        <v>207</v>
      </c>
      <c r="C65" s="7">
        <v>0.55000000000000004</v>
      </c>
      <c r="D65" s="7">
        <v>0.04</v>
      </c>
      <c r="E65" s="47">
        <f t="shared" si="1"/>
        <v>13.75</v>
      </c>
      <c r="F65" s="52">
        <v>51</v>
      </c>
    </row>
    <row r="66" spans="2:6">
      <c r="B66" s="43" t="s">
        <v>204</v>
      </c>
      <c r="C66" s="7">
        <v>0.3</v>
      </c>
      <c r="D66" s="7">
        <v>0.03</v>
      </c>
      <c r="E66" s="47">
        <f t="shared" si="1"/>
        <v>10</v>
      </c>
      <c r="F66" s="52">
        <v>51</v>
      </c>
    </row>
    <row r="67" spans="2:6">
      <c r="B67" s="43" t="s">
        <v>148</v>
      </c>
      <c r="C67" s="7">
        <v>0.96</v>
      </c>
      <c r="D67" s="7">
        <v>0.87</v>
      </c>
      <c r="E67" s="47">
        <f t="shared" ref="E67:E98" si="2">C67/D67</f>
        <v>1.103448275862069</v>
      </c>
      <c r="F67" s="52">
        <v>51</v>
      </c>
    </row>
    <row r="68" spans="2:6">
      <c r="B68" s="43" t="s">
        <v>256</v>
      </c>
      <c r="C68" s="7">
        <v>0.72</v>
      </c>
      <c r="D68" s="7">
        <v>0.89</v>
      </c>
      <c r="E68" s="47">
        <f t="shared" si="2"/>
        <v>0.8089887640449438</v>
      </c>
      <c r="F68" s="52">
        <v>51</v>
      </c>
    </row>
    <row r="69" spans="2:6">
      <c r="B69" s="43" t="s">
        <v>257</v>
      </c>
      <c r="C69" s="7">
        <v>0.78</v>
      </c>
      <c r="D69" s="7">
        <v>0.89</v>
      </c>
      <c r="E69" s="47">
        <f t="shared" si="2"/>
        <v>0.8764044943820225</v>
      </c>
      <c r="F69" s="52">
        <v>51</v>
      </c>
    </row>
    <row r="70" spans="2:6">
      <c r="B70" s="43" t="s">
        <v>255</v>
      </c>
      <c r="C70" s="7">
        <v>0.75</v>
      </c>
      <c r="D70" s="7">
        <v>0.89</v>
      </c>
      <c r="E70" s="47">
        <f t="shared" si="2"/>
        <v>0.84269662921348309</v>
      </c>
      <c r="F70" s="52">
        <v>51</v>
      </c>
    </row>
    <row r="71" spans="2:6">
      <c r="B71" s="43" t="s">
        <v>258</v>
      </c>
      <c r="C71" s="7">
        <v>0.8</v>
      </c>
      <c r="D71" s="7">
        <v>0.89</v>
      </c>
      <c r="E71" s="47">
        <f t="shared" si="2"/>
        <v>0.89887640449438211</v>
      </c>
      <c r="F71" s="52">
        <v>51</v>
      </c>
    </row>
    <row r="72" spans="2:6">
      <c r="B72" s="43" t="s">
        <v>208</v>
      </c>
      <c r="C72" s="7">
        <v>0.52</v>
      </c>
      <c r="D72" s="7">
        <v>0.09</v>
      </c>
      <c r="E72" s="47">
        <f t="shared" si="2"/>
        <v>5.7777777777777786</v>
      </c>
      <c r="F72" s="52">
        <v>51</v>
      </c>
    </row>
    <row r="73" spans="2:6">
      <c r="B73" s="43" t="s">
        <v>238</v>
      </c>
      <c r="C73" s="7">
        <v>0.48</v>
      </c>
      <c r="D73" s="7">
        <v>0.82</v>
      </c>
      <c r="E73" s="47">
        <f t="shared" si="2"/>
        <v>0.58536585365853655</v>
      </c>
      <c r="F73" s="52">
        <v>51</v>
      </c>
    </row>
    <row r="74" spans="2:6">
      <c r="B74" s="43" t="s">
        <v>210</v>
      </c>
      <c r="C74" s="7">
        <v>0.23</v>
      </c>
      <c r="D74" s="7">
        <v>0.03</v>
      </c>
      <c r="E74" s="47">
        <f t="shared" si="2"/>
        <v>7.666666666666667</v>
      </c>
      <c r="F74" s="52">
        <v>51</v>
      </c>
    </row>
    <row r="75" spans="2:6">
      <c r="B75" s="43" t="s">
        <v>211</v>
      </c>
      <c r="C75" s="7">
        <v>0.3</v>
      </c>
      <c r="D75" s="7">
        <v>0.05</v>
      </c>
      <c r="E75" s="47">
        <f t="shared" si="2"/>
        <v>5.9999999999999991</v>
      </c>
      <c r="F75" s="52">
        <v>51</v>
      </c>
    </row>
    <row r="76" spans="2:6">
      <c r="B76" s="43" t="s">
        <v>212</v>
      </c>
      <c r="C76" s="7">
        <v>0.3</v>
      </c>
      <c r="D76" s="7">
        <v>0.05</v>
      </c>
      <c r="E76" s="47">
        <f t="shared" si="2"/>
        <v>5.9999999999999991</v>
      </c>
      <c r="F76" s="52">
        <v>51</v>
      </c>
    </row>
    <row r="77" spans="2:6">
      <c r="B77" s="43" t="s">
        <v>213</v>
      </c>
      <c r="C77" s="7">
        <v>0.48</v>
      </c>
      <c r="D77" s="7">
        <v>0.14000000000000001</v>
      </c>
      <c r="E77" s="47">
        <f t="shared" si="2"/>
        <v>3.4285714285714279</v>
      </c>
      <c r="F77" s="52">
        <v>51</v>
      </c>
    </row>
    <row r="78" spans="2:6">
      <c r="B78" s="43" t="s">
        <v>209</v>
      </c>
      <c r="C78" s="7">
        <v>0.19</v>
      </c>
      <c r="D78" s="7">
        <v>0.02</v>
      </c>
      <c r="E78" s="47">
        <f t="shared" si="2"/>
        <v>9.5</v>
      </c>
      <c r="F78" s="52">
        <v>51</v>
      </c>
    </row>
    <row r="79" spans="2:6">
      <c r="B79" s="43" t="s">
        <v>182</v>
      </c>
      <c r="C79" s="7">
        <v>0.24</v>
      </c>
      <c r="D79" s="7">
        <v>0.43</v>
      </c>
      <c r="E79" s="47">
        <f t="shared" si="2"/>
        <v>0.55813953488372092</v>
      </c>
      <c r="F79" s="52">
        <v>51</v>
      </c>
    </row>
    <row r="80" spans="2:6">
      <c r="B80" s="43" t="s">
        <v>183</v>
      </c>
      <c r="C80" s="7">
        <v>0.22</v>
      </c>
      <c r="D80" s="7">
        <v>0.52</v>
      </c>
      <c r="E80" s="47">
        <f t="shared" si="2"/>
        <v>0.42307692307692307</v>
      </c>
      <c r="F80" s="52">
        <v>51</v>
      </c>
    </row>
    <row r="81" spans="2:6">
      <c r="B81" s="43" t="s">
        <v>185</v>
      </c>
      <c r="C81" s="7">
        <v>0.23</v>
      </c>
      <c r="D81" s="7">
        <v>0.82</v>
      </c>
      <c r="E81" s="47">
        <f t="shared" si="2"/>
        <v>0.28048780487804881</v>
      </c>
      <c r="F81" s="52">
        <v>51</v>
      </c>
    </row>
    <row r="82" spans="2:6">
      <c r="B82" s="43" t="s">
        <v>184</v>
      </c>
      <c r="C82" s="7">
        <v>0.22</v>
      </c>
      <c r="D82" s="7">
        <v>0.81</v>
      </c>
      <c r="E82" s="47">
        <f t="shared" si="2"/>
        <v>0.27160493827160492</v>
      </c>
      <c r="F82" s="52">
        <v>51</v>
      </c>
    </row>
    <row r="83" spans="2:6">
      <c r="B83" s="43" t="s">
        <v>262</v>
      </c>
      <c r="C83" s="7">
        <v>0.65</v>
      </c>
      <c r="D83" s="7">
        <v>0.34</v>
      </c>
      <c r="E83" s="47">
        <f t="shared" si="2"/>
        <v>1.9117647058823528</v>
      </c>
      <c r="F83" s="52">
        <v>51</v>
      </c>
    </row>
    <row r="84" spans="2:6">
      <c r="B84" s="43" t="s">
        <v>263</v>
      </c>
      <c r="C84" s="7">
        <v>0.61</v>
      </c>
      <c r="D84" s="7">
        <v>0.34</v>
      </c>
      <c r="E84" s="47">
        <f t="shared" si="2"/>
        <v>1.7941176470588234</v>
      </c>
      <c r="F84" s="52">
        <v>51</v>
      </c>
    </row>
    <row r="85" spans="2:6">
      <c r="B85" s="43" t="s">
        <v>259</v>
      </c>
      <c r="C85" s="7">
        <v>0.93</v>
      </c>
      <c r="D85" s="7">
        <v>0.85</v>
      </c>
      <c r="E85" s="47">
        <f t="shared" si="2"/>
        <v>1.0941176470588236</v>
      </c>
      <c r="F85" s="52">
        <v>51</v>
      </c>
    </row>
    <row r="86" spans="2:6">
      <c r="B86" s="43" t="s">
        <v>239</v>
      </c>
      <c r="C86" s="7">
        <v>0.66</v>
      </c>
      <c r="D86" s="7">
        <v>0.88</v>
      </c>
      <c r="E86" s="47">
        <f t="shared" si="2"/>
        <v>0.75</v>
      </c>
      <c r="F86" s="52">
        <v>51</v>
      </c>
    </row>
    <row r="87" spans="2:6">
      <c r="B87" s="43" t="s">
        <v>214</v>
      </c>
      <c r="C87" s="7">
        <v>0.52</v>
      </c>
      <c r="D87" s="7">
        <v>0.1</v>
      </c>
      <c r="E87" s="47">
        <f t="shared" si="2"/>
        <v>5.2</v>
      </c>
      <c r="F87" s="52">
        <v>51</v>
      </c>
    </row>
    <row r="88" spans="2:6">
      <c r="B88" s="43" t="s">
        <v>215</v>
      </c>
      <c r="C88" s="7">
        <v>0.85</v>
      </c>
      <c r="D88" s="7">
        <v>0.56000000000000005</v>
      </c>
      <c r="E88" s="47">
        <f t="shared" si="2"/>
        <v>1.5178571428571426</v>
      </c>
      <c r="F88" s="52">
        <v>51</v>
      </c>
    </row>
    <row r="89" spans="2:6">
      <c r="B89" s="43" t="s">
        <v>149</v>
      </c>
      <c r="C89" s="7">
        <v>0.94</v>
      </c>
      <c r="D89" s="7">
        <v>0.94</v>
      </c>
      <c r="E89" s="47">
        <f t="shared" si="2"/>
        <v>1</v>
      </c>
      <c r="F89" s="52">
        <v>51</v>
      </c>
    </row>
    <row r="90" spans="2:6">
      <c r="B90" s="43" t="s">
        <v>150</v>
      </c>
      <c r="C90" s="7">
        <v>0.91</v>
      </c>
      <c r="D90" s="7">
        <v>0.94</v>
      </c>
      <c r="E90" s="47">
        <f t="shared" si="2"/>
        <v>0.96808510638297884</v>
      </c>
      <c r="F90" s="52">
        <v>51</v>
      </c>
    </row>
    <row r="91" spans="2:6">
      <c r="B91" s="43" t="s">
        <v>243</v>
      </c>
      <c r="C91" s="7">
        <v>0.9</v>
      </c>
      <c r="D91" s="7">
        <v>0.1</v>
      </c>
      <c r="E91" s="47">
        <f t="shared" si="2"/>
        <v>9</v>
      </c>
      <c r="F91" s="52">
        <v>51</v>
      </c>
    </row>
    <row r="92" spans="2:6">
      <c r="B92" s="43" t="s">
        <v>216</v>
      </c>
      <c r="C92" s="7">
        <v>0.56000000000000005</v>
      </c>
      <c r="D92" s="7">
        <v>0.21</v>
      </c>
      <c r="E92" s="47">
        <f t="shared" si="2"/>
        <v>2.666666666666667</v>
      </c>
      <c r="F92" s="52">
        <v>51</v>
      </c>
    </row>
    <row r="93" spans="2:6">
      <c r="B93" s="43" t="s">
        <v>250</v>
      </c>
      <c r="C93" s="7">
        <v>7.0000000000000007E-2</v>
      </c>
      <c r="D93" s="7">
        <v>0.68</v>
      </c>
      <c r="E93" s="47">
        <f t="shared" si="2"/>
        <v>0.10294117647058824</v>
      </c>
      <c r="F93" s="52">
        <v>51</v>
      </c>
    </row>
    <row r="94" spans="2:6">
      <c r="B94" s="43" t="s">
        <v>249</v>
      </c>
      <c r="C94" s="7">
        <v>0.86</v>
      </c>
      <c r="D94" s="7">
        <v>0.04</v>
      </c>
      <c r="E94" s="47">
        <f t="shared" si="2"/>
        <v>21.5</v>
      </c>
      <c r="F94" s="52">
        <v>51</v>
      </c>
    </row>
    <row r="95" spans="2:6">
      <c r="B95" s="43" t="s">
        <v>218</v>
      </c>
      <c r="C95" s="7">
        <v>0.39</v>
      </c>
      <c r="D95" s="7">
        <v>7.0000000000000007E-2</v>
      </c>
      <c r="E95" s="47">
        <f t="shared" si="2"/>
        <v>5.5714285714285712</v>
      </c>
      <c r="F95" s="52">
        <v>51</v>
      </c>
    </row>
    <row r="96" spans="2:6">
      <c r="B96" s="43" t="s">
        <v>217</v>
      </c>
      <c r="C96" s="7">
        <v>0.38</v>
      </c>
      <c r="D96" s="7">
        <v>0.04</v>
      </c>
      <c r="E96" s="47">
        <f t="shared" si="2"/>
        <v>9.5</v>
      </c>
      <c r="F96" s="52">
        <v>51</v>
      </c>
    </row>
    <row r="97" spans="2:6">
      <c r="B97" s="43" t="s">
        <v>131</v>
      </c>
      <c r="C97" s="7">
        <v>0.1</v>
      </c>
      <c r="D97" s="7">
        <v>0.8</v>
      </c>
      <c r="E97" s="47">
        <f t="shared" si="2"/>
        <v>0.125</v>
      </c>
      <c r="F97" s="52">
        <v>51</v>
      </c>
    </row>
    <row r="98" spans="2:6">
      <c r="B98" s="43" t="s">
        <v>132</v>
      </c>
      <c r="C98" s="7">
        <v>7.0000000000000007E-2</v>
      </c>
      <c r="D98" s="7">
        <v>0.76</v>
      </c>
      <c r="E98" s="47">
        <f t="shared" si="2"/>
        <v>9.2105263157894746E-2</v>
      </c>
      <c r="F98" s="52">
        <v>51</v>
      </c>
    </row>
    <row r="99" spans="2:6">
      <c r="B99" s="43" t="s">
        <v>130</v>
      </c>
      <c r="C99" s="7">
        <v>7.0000000000000007E-2</v>
      </c>
      <c r="D99" s="7">
        <v>0.8</v>
      </c>
      <c r="E99" s="47">
        <f t="shared" ref="E99:E130" si="3">C99/D99</f>
        <v>8.7500000000000008E-2</v>
      </c>
      <c r="F99" s="52">
        <v>51</v>
      </c>
    </row>
    <row r="100" spans="2:6">
      <c r="B100" s="43" t="s">
        <v>151</v>
      </c>
      <c r="C100" s="7">
        <v>0.98</v>
      </c>
      <c r="D100" s="7">
        <v>0.91</v>
      </c>
      <c r="E100" s="47">
        <f t="shared" si="3"/>
        <v>1.0769230769230769</v>
      </c>
      <c r="F100" s="52">
        <v>51</v>
      </c>
    </row>
    <row r="101" spans="2:6">
      <c r="B101" s="43" t="s">
        <v>219</v>
      </c>
      <c r="C101" s="7">
        <v>0.33</v>
      </c>
      <c r="D101" s="7">
        <v>0.04</v>
      </c>
      <c r="E101" s="47">
        <f t="shared" si="3"/>
        <v>8.25</v>
      </c>
      <c r="F101" s="52">
        <v>51</v>
      </c>
    </row>
    <row r="102" spans="2:6">
      <c r="B102" s="43" t="s">
        <v>252</v>
      </c>
      <c r="C102" s="7">
        <v>0.93</v>
      </c>
      <c r="D102" s="7">
        <v>0.92</v>
      </c>
      <c r="E102" s="47">
        <f t="shared" si="3"/>
        <v>1.0108695652173914</v>
      </c>
      <c r="F102" s="52">
        <v>51</v>
      </c>
    </row>
    <row r="103" spans="2:6">
      <c r="B103" s="43" t="s">
        <v>240</v>
      </c>
      <c r="C103" s="7">
        <v>0.56999999999999995</v>
      </c>
      <c r="D103" s="7">
        <v>0.88</v>
      </c>
      <c r="E103" s="47">
        <f t="shared" si="3"/>
        <v>0.64772727272727271</v>
      </c>
      <c r="F103" s="52">
        <v>51</v>
      </c>
    </row>
    <row r="104" spans="2:6">
      <c r="B104" s="43" t="s">
        <v>220</v>
      </c>
      <c r="C104" s="7">
        <v>0.18</v>
      </c>
      <c r="D104" s="7">
        <v>0.03</v>
      </c>
      <c r="E104" s="47">
        <f t="shared" si="3"/>
        <v>6</v>
      </c>
      <c r="F104" s="52">
        <v>51</v>
      </c>
    </row>
    <row r="105" spans="2:6">
      <c r="B105" s="43" t="s">
        <v>191</v>
      </c>
      <c r="C105" s="7">
        <v>0.56000000000000005</v>
      </c>
      <c r="D105" s="7">
        <v>0.88</v>
      </c>
      <c r="E105" s="47">
        <f t="shared" si="3"/>
        <v>0.63636363636363646</v>
      </c>
      <c r="F105" s="52">
        <v>51</v>
      </c>
    </row>
    <row r="106" spans="2:6">
      <c r="B106" s="43" t="s">
        <v>190</v>
      </c>
      <c r="C106" s="7">
        <v>0.21</v>
      </c>
      <c r="D106" s="7">
        <v>0.88</v>
      </c>
      <c r="E106" s="47">
        <f t="shared" si="3"/>
        <v>0.23863636363636362</v>
      </c>
      <c r="F106" s="52">
        <v>51</v>
      </c>
    </row>
    <row r="107" spans="2:6">
      <c r="B107" s="43" t="s">
        <v>193</v>
      </c>
      <c r="C107" s="7">
        <v>0.39</v>
      </c>
      <c r="D107" s="7">
        <v>0.88</v>
      </c>
      <c r="E107" s="47">
        <f t="shared" si="3"/>
        <v>0.44318181818181818</v>
      </c>
      <c r="F107" s="52">
        <v>51</v>
      </c>
    </row>
    <row r="108" spans="2:6">
      <c r="B108" s="43" t="s">
        <v>194</v>
      </c>
      <c r="C108" s="7">
        <v>0.47</v>
      </c>
      <c r="D108" s="7">
        <v>0.88</v>
      </c>
      <c r="E108" s="47">
        <f t="shared" si="3"/>
        <v>0.53409090909090906</v>
      </c>
      <c r="F108" s="52">
        <v>51</v>
      </c>
    </row>
    <row r="109" spans="2:6">
      <c r="B109" s="43" t="s">
        <v>192</v>
      </c>
      <c r="C109" s="7">
        <v>0.22</v>
      </c>
      <c r="D109" s="7">
        <v>0.88</v>
      </c>
      <c r="E109" s="47">
        <f t="shared" si="3"/>
        <v>0.25</v>
      </c>
      <c r="F109" s="52">
        <v>51</v>
      </c>
    </row>
    <row r="110" spans="2:6">
      <c r="B110" s="43" t="s">
        <v>141</v>
      </c>
      <c r="C110" s="7">
        <v>0.09</v>
      </c>
      <c r="D110" s="7">
        <v>0.88</v>
      </c>
      <c r="E110" s="47">
        <f t="shared" si="3"/>
        <v>0.10227272727272727</v>
      </c>
      <c r="F110" s="52">
        <v>51</v>
      </c>
    </row>
    <row r="111" spans="2:6">
      <c r="B111" s="43" t="s">
        <v>139</v>
      </c>
      <c r="C111" s="7">
        <v>0.08</v>
      </c>
      <c r="D111" s="7">
        <v>0.68</v>
      </c>
      <c r="E111" s="47">
        <f t="shared" si="3"/>
        <v>0.11764705882352941</v>
      </c>
      <c r="F111" s="52">
        <v>51</v>
      </c>
    </row>
    <row r="112" spans="2:6">
      <c r="B112" s="43" t="s">
        <v>140</v>
      </c>
      <c r="C112" s="7">
        <v>0.08</v>
      </c>
      <c r="D112" s="7">
        <v>0.81</v>
      </c>
      <c r="E112" s="47">
        <f t="shared" si="3"/>
        <v>9.8765432098765427E-2</v>
      </c>
      <c r="F112" s="52">
        <v>51</v>
      </c>
    </row>
    <row r="113" spans="2:6">
      <c r="B113" s="43" t="s">
        <v>224</v>
      </c>
      <c r="C113" s="7">
        <v>0.06</v>
      </c>
      <c r="D113" s="7">
        <v>0.03</v>
      </c>
      <c r="E113" s="47">
        <f t="shared" si="3"/>
        <v>2</v>
      </c>
      <c r="F113" s="52">
        <v>51</v>
      </c>
    </row>
    <row r="114" spans="2:6">
      <c r="B114" s="43" t="s">
        <v>223</v>
      </c>
      <c r="C114" s="7"/>
      <c r="D114" s="7">
        <v>0.03</v>
      </c>
      <c r="E114" s="47">
        <f t="shared" si="3"/>
        <v>0</v>
      </c>
      <c r="F114" s="52">
        <v>51</v>
      </c>
    </row>
    <row r="115" spans="2:6">
      <c r="B115" s="43" t="s">
        <v>222</v>
      </c>
      <c r="C115" s="7">
        <v>0.04</v>
      </c>
      <c r="D115" s="7">
        <v>0.02</v>
      </c>
      <c r="E115" s="47">
        <f t="shared" si="3"/>
        <v>2</v>
      </c>
      <c r="F115" s="52">
        <v>51</v>
      </c>
    </row>
    <row r="116" spans="2:6">
      <c r="B116" s="43" t="s">
        <v>221</v>
      </c>
      <c r="C116" s="7">
        <v>0.04</v>
      </c>
      <c r="D116" s="7">
        <v>0.02</v>
      </c>
      <c r="E116" s="47">
        <f t="shared" si="3"/>
        <v>2</v>
      </c>
      <c r="F116" s="52">
        <v>51</v>
      </c>
    </row>
    <row r="117" spans="2:6">
      <c r="B117" s="43" t="s">
        <v>177</v>
      </c>
      <c r="C117" s="7">
        <v>0.08</v>
      </c>
      <c r="D117" s="7">
        <v>0.19</v>
      </c>
      <c r="E117" s="47">
        <f t="shared" si="3"/>
        <v>0.42105263157894735</v>
      </c>
      <c r="F117" s="52">
        <v>51</v>
      </c>
    </row>
    <row r="118" spans="2:6">
      <c r="B118" s="43" t="s">
        <v>178</v>
      </c>
      <c r="C118" s="7">
        <v>0.08</v>
      </c>
      <c r="D118" s="7">
        <v>0.21</v>
      </c>
      <c r="E118" s="47">
        <f t="shared" si="3"/>
        <v>0.38095238095238099</v>
      </c>
      <c r="F118" s="52">
        <v>51</v>
      </c>
    </row>
    <row r="119" spans="2:6">
      <c r="B119" s="43" t="s">
        <v>226</v>
      </c>
      <c r="C119" s="7">
        <v>0.47</v>
      </c>
      <c r="D119" s="7">
        <v>0.14000000000000001</v>
      </c>
      <c r="E119" s="47">
        <f t="shared" si="3"/>
        <v>3.3571428571428568</v>
      </c>
      <c r="F119" s="52">
        <v>51</v>
      </c>
    </row>
    <row r="120" spans="2:6">
      <c r="B120" s="43" t="s">
        <v>229</v>
      </c>
      <c r="C120" s="7">
        <v>0.4</v>
      </c>
      <c r="D120" s="7">
        <v>0.05</v>
      </c>
      <c r="E120" s="47">
        <f t="shared" si="3"/>
        <v>8</v>
      </c>
      <c r="F120" s="52">
        <v>51</v>
      </c>
    </row>
    <row r="121" spans="2:6">
      <c r="B121" s="43" t="s">
        <v>228</v>
      </c>
      <c r="C121" s="7">
        <v>0.39</v>
      </c>
      <c r="D121" s="7">
        <v>0.11</v>
      </c>
      <c r="E121" s="47">
        <f t="shared" si="3"/>
        <v>3.5454545454545454</v>
      </c>
      <c r="F121" s="52">
        <v>51</v>
      </c>
    </row>
    <row r="122" spans="2:6">
      <c r="B122" s="43" t="s">
        <v>225</v>
      </c>
      <c r="C122" s="7">
        <v>0.42</v>
      </c>
      <c r="D122" s="7">
        <v>0.11</v>
      </c>
      <c r="E122" s="47">
        <f t="shared" si="3"/>
        <v>3.8181818181818179</v>
      </c>
      <c r="F122" s="52">
        <v>51</v>
      </c>
    </row>
    <row r="123" spans="2:6">
      <c r="B123" s="43" t="s">
        <v>227</v>
      </c>
      <c r="C123" s="7">
        <v>0.57999999999999996</v>
      </c>
      <c r="D123" s="7">
        <v>0.38</v>
      </c>
      <c r="E123" s="47">
        <f t="shared" si="3"/>
        <v>1.5263157894736841</v>
      </c>
      <c r="F123" s="52">
        <v>51</v>
      </c>
    </row>
    <row r="124" spans="2:6">
      <c r="B124" s="43" t="s">
        <v>230</v>
      </c>
      <c r="C124" s="7">
        <v>0.4</v>
      </c>
      <c r="D124" s="7">
        <v>0.05</v>
      </c>
      <c r="E124" s="47">
        <f t="shared" si="3"/>
        <v>8</v>
      </c>
      <c r="F124" s="52">
        <v>51</v>
      </c>
    </row>
    <row r="125" spans="2:6">
      <c r="B125" s="43" t="s">
        <v>253</v>
      </c>
      <c r="C125" s="7">
        <v>0.94</v>
      </c>
      <c r="D125" s="7">
        <v>0.9</v>
      </c>
      <c r="E125" s="47">
        <f t="shared" si="3"/>
        <v>1.0444444444444443</v>
      </c>
      <c r="F125" s="52">
        <v>51</v>
      </c>
    </row>
    <row r="126" spans="2:6">
      <c r="B126" s="43" t="s">
        <v>254</v>
      </c>
      <c r="C126" s="7">
        <v>0.39</v>
      </c>
      <c r="D126" s="7">
        <v>0.87</v>
      </c>
      <c r="E126" s="47">
        <f t="shared" si="3"/>
        <v>0.44827586206896552</v>
      </c>
      <c r="F126" s="52">
        <v>51</v>
      </c>
    </row>
    <row r="127" spans="2:6">
      <c r="B127" s="43" t="s">
        <v>242</v>
      </c>
      <c r="C127" s="7">
        <v>0.95</v>
      </c>
      <c r="D127" s="7">
        <v>0.05</v>
      </c>
      <c r="E127" s="47">
        <f t="shared" si="3"/>
        <v>18.999999999999996</v>
      </c>
      <c r="F127" s="52">
        <v>51</v>
      </c>
    </row>
    <row r="128" spans="2:6">
      <c r="B128" s="43" t="s">
        <v>232</v>
      </c>
      <c r="C128" s="7">
        <v>0.4</v>
      </c>
      <c r="D128" s="7">
        <v>0.55000000000000004</v>
      </c>
      <c r="E128" s="47">
        <f t="shared" si="3"/>
        <v>0.72727272727272729</v>
      </c>
      <c r="F128" s="52">
        <v>51</v>
      </c>
    </row>
    <row r="129" spans="2:6">
      <c r="B129" s="43" t="s">
        <v>231</v>
      </c>
      <c r="C129" s="7">
        <v>0.52</v>
      </c>
      <c r="D129" s="7">
        <v>0.12</v>
      </c>
      <c r="E129" s="47">
        <f t="shared" si="3"/>
        <v>4.3333333333333339</v>
      </c>
      <c r="F129" s="52">
        <v>51</v>
      </c>
    </row>
    <row r="130" spans="2:6">
      <c r="B130" s="43" t="s">
        <v>233</v>
      </c>
      <c r="C130" s="7">
        <v>0.44</v>
      </c>
      <c r="D130" s="7">
        <v>0.03</v>
      </c>
      <c r="E130" s="47">
        <f t="shared" si="3"/>
        <v>14.666666666666668</v>
      </c>
      <c r="F130" s="52">
        <v>51</v>
      </c>
    </row>
    <row r="131" spans="2:6">
      <c r="B131" s="43" t="s">
        <v>234</v>
      </c>
      <c r="C131" s="7">
        <v>0.6</v>
      </c>
      <c r="D131" s="7">
        <v>0.27</v>
      </c>
      <c r="E131" s="47">
        <f t="shared" ref="E131:E136" si="4">C131/D131</f>
        <v>2.2222222222222219</v>
      </c>
      <c r="F131" s="52">
        <v>51</v>
      </c>
    </row>
    <row r="132" spans="2:6">
      <c r="B132" s="43" t="s">
        <v>251</v>
      </c>
      <c r="C132" s="7">
        <v>0.89</v>
      </c>
      <c r="D132" s="7">
        <v>0.9</v>
      </c>
      <c r="E132" s="47">
        <f t="shared" si="4"/>
        <v>0.98888888888888893</v>
      </c>
      <c r="F132" s="52">
        <v>51</v>
      </c>
    </row>
    <row r="133" spans="2:6">
      <c r="B133" s="43" t="s">
        <v>241</v>
      </c>
      <c r="C133" s="7">
        <v>0.47</v>
      </c>
      <c r="D133" s="7">
        <v>0.87</v>
      </c>
      <c r="E133" s="47">
        <f t="shared" si="4"/>
        <v>0.54022988505747127</v>
      </c>
      <c r="F133" s="52">
        <v>51</v>
      </c>
    </row>
    <row r="134" spans="2:6">
      <c r="B134" s="43" t="s">
        <v>143</v>
      </c>
      <c r="C134" s="7">
        <v>0.93</v>
      </c>
      <c r="D134" s="7">
        <v>0.87</v>
      </c>
      <c r="E134" s="47">
        <f t="shared" si="4"/>
        <v>1.0689655172413794</v>
      </c>
      <c r="F134" s="52">
        <v>51</v>
      </c>
    </row>
    <row r="135" spans="2:6">
      <c r="B135" s="43" t="s">
        <v>144</v>
      </c>
      <c r="C135" s="7">
        <v>0.92</v>
      </c>
      <c r="D135" s="7">
        <v>0.87</v>
      </c>
      <c r="E135" s="47">
        <f t="shared" si="4"/>
        <v>1.0574712643678161</v>
      </c>
      <c r="F135" s="52">
        <v>51</v>
      </c>
    </row>
    <row r="136" spans="2:6" ht="13.5" thickBot="1">
      <c r="B136" s="44" t="s">
        <v>142</v>
      </c>
      <c r="C136" s="11">
        <v>0.95</v>
      </c>
      <c r="D136" s="11">
        <v>0.87</v>
      </c>
      <c r="E136" s="48">
        <f t="shared" si="4"/>
        <v>1.0919540229885056</v>
      </c>
      <c r="F136" s="12">
        <v>51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13"/>
  <sheetViews>
    <sheetView workbookViewId="0"/>
  </sheetViews>
  <sheetFormatPr defaultRowHeight="12.75"/>
  <cols>
    <col min="1" max="1" width="1.42578125" customWidth="1"/>
    <col min="2" max="2" width="11.28515625" bestFit="1" customWidth="1"/>
    <col min="3" max="3" width="16" customWidth="1"/>
    <col min="5" max="5" width="10.28515625" bestFit="1" customWidth="1"/>
    <col min="6" max="6" width="17.5703125" bestFit="1" customWidth="1"/>
    <col min="7" max="7" width="18" bestFit="1" customWidth="1"/>
  </cols>
  <sheetData>
    <row r="1" spans="2:7" ht="13.5" thickBot="1"/>
    <row r="2" spans="2:7" ht="24.75" customHeight="1" thickBot="1">
      <c r="B2" s="258" t="s">
        <v>416</v>
      </c>
      <c r="C2" s="259"/>
      <c r="D2" s="54"/>
      <c r="E2" s="260" t="s">
        <v>417</v>
      </c>
      <c r="F2" s="261"/>
      <c r="G2" s="262"/>
    </row>
    <row r="3" spans="2:7" ht="13.5" thickBot="1">
      <c r="B3" s="57" t="s">
        <v>267</v>
      </c>
      <c r="C3" s="59" t="s">
        <v>268</v>
      </c>
      <c r="E3" s="57" t="s">
        <v>269</v>
      </c>
      <c r="F3" s="58" t="s">
        <v>270</v>
      </c>
      <c r="G3" s="59" t="s">
        <v>271</v>
      </c>
    </row>
    <row r="4" spans="2:7">
      <c r="B4" s="49">
        <v>0</v>
      </c>
      <c r="C4" s="52">
        <v>0</v>
      </c>
      <c r="E4" s="49">
        <v>0</v>
      </c>
      <c r="F4" s="50">
        <v>0</v>
      </c>
      <c r="G4" s="52">
        <v>0</v>
      </c>
    </row>
    <row r="5" spans="2:7">
      <c r="B5" s="6">
        <v>1</v>
      </c>
      <c r="C5" s="8">
        <v>4.3999999999999997E-2</v>
      </c>
      <c r="E5" s="6">
        <v>1</v>
      </c>
      <c r="F5" s="7">
        <v>2.1999999999999999E-2</v>
      </c>
      <c r="G5" s="8">
        <v>5.8999999999999997E-2</v>
      </c>
    </row>
    <row r="6" spans="2:7">
      <c r="B6" s="6">
        <v>2</v>
      </c>
      <c r="C6" s="8">
        <v>7.4999999999999997E-2</v>
      </c>
      <c r="E6" s="6">
        <v>2</v>
      </c>
      <c r="F6" s="7">
        <v>4.1000000000000002E-2</v>
      </c>
      <c r="G6" s="8">
        <v>0.1</v>
      </c>
    </row>
    <row r="7" spans="2:7">
      <c r="B7" s="6">
        <v>3</v>
      </c>
      <c r="C7" s="8">
        <v>9.6000000000000002E-2</v>
      </c>
      <c r="E7" s="6">
        <v>3</v>
      </c>
      <c r="F7" s="7">
        <v>6.3E-2</v>
      </c>
      <c r="G7" s="8">
        <v>0.13</v>
      </c>
    </row>
    <row r="8" spans="2:7">
      <c r="B8" s="6">
        <v>4</v>
      </c>
      <c r="C8" s="8">
        <v>0.113</v>
      </c>
      <c r="E8" s="6">
        <v>4</v>
      </c>
      <c r="F8" s="7">
        <v>7.8E-2</v>
      </c>
      <c r="G8" s="8">
        <v>0.15</v>
      </c>
    </row>
    <row r="9" spans="2:7">
      <c r="B9" s="6">
        <v>5</v>
      </c>
      <c r="C9" s="8">
        <v>0.127</v>
      </c>
      <c r="E9" s="6">
        <v>5</v>
      </c>
      <c r="F9" s="7">
        <v>9.2999999999999999E-2</v>
      </c>
      <c r="G9" s="8">
        <v>0.16700000000000001</v>
      </c>
    </row>
    <row r="10" spans="2:7">
      <c r="B10" s="6">
        <v>6</v>
      </c>
      <c r="C10" s="8">
        <v>0.14299999999999999</v>
      </c>
      <c r="E10" s="6">
        <v>6</v>
      </c>
      <c r="F10" s="7">
        <v>0.106</v>
      </c>
      <c r="G10" s="8">
        <v>0.182</v>
      </c>
    </row>
    <row r="11" spans="2:7">
      <c r="B11" s="6">
        <v>7</v>
      </c>
      <c r="C11" s="8">
        <v>0.159</v>
      </c>
      <c r="E11" s="6">
        <v>7</v>
      </c>
      <c r="F11" s="7">
        <v>0.11700000000000001</v>
      </c>
      <c r="G11" s="8">
        <v>0.193</v>
      </c>
    </row>
    <row r="12" spans="2:7" ht="13.5" thickBot="1">
      <c r="B12" s="10">
        <v>8</v>
      </c>
      <c r="C12" s="12">
        <v>0.17299999999999999</v>
      </c>
      <c r="E12" s="6">
        <v>8</v>
      </c>
      <c r="F12" s="7">
        <v>0.123</v>
      </c>
      <c r="G12" s="8">
        <v>0.20399999999999999</v>
      </c>
    </row>
    <row r="13" spans="2:7" ht="13.5" thickBot="1">
      <c r="E13" s="10">
        <v>9</v>
      </c>
      <c r="F13" s="11">
        <v>0.126</v>
      </c>
      <c r="G13" s="12">
        <v>0.217</v>
      </c>
    </row>
  </sheetData>
  <mergeCells count="2">
    <mergeCell ref="B2:C2"/>
    <mergeCell ref="E2:G2"/>
  </mergeCells>
  <phoneticPr fontId="0" type="noConversion"/>
  <pageMargins left="0.75" right="0.75" top="1" bottom="1" header="0.5" footer="0.5"/>
  <pageSetup scale="7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1:L199"/>
  <sheetViews>
    <sheetView topLeftCell="A73" workbookViewId="0">
      <selection activeCell="P92" sqref="P92"/>
    </sheetView>
  </sheetViews>
  <sheetFormatPr defaultRowHeight="12.75"/>
  <cols>
    <col min="1" max="1" width="1.5703125" customWidth="1"/>
    <col min="3" max="4" width="15.85546875" bestFit="1" customWidth="1"/>
    <col min="5" max="5" width="12.5703125" bestFit="1" customWidth="1"/>
    <col min="6" max="6" width="15.28515625" customWidth="1"/>
    <col min="7" max="7" width="14" bestFit="1" customWidth="1"/>
    <col min="8" max="8" width="9.5703125" bestFit="1" customWidth="1"/>
  </cols>
  <sheetData>
    <row r="1" spans="2:12" ht="13.5" thickBot="1"/>
    <row r="2" spans="2:12" ht="26.25" thickBot="1">
      <c r="B2" s="266" t="s">
        <v>279</v>
      </c>
      <c r="C2" s="267"/>
      <c r="D2" s="267"/>
      <c r="E2" s="267"/>
      <c r="F2" s="267"/>
      <c r="G2" s="267"/>
      <c r="H2" s="267"/>
      <c r="I2" s="267"/>
      <c r="J2" s="267"/>
      <c r="K2" s="267"/>
      <c r="L2" s="268"/>
    </row>
    <row r="3" spans="2:12">
      <c r="B3" s="64"/>
      <c r="C3" s="35"/>
      <c r="D3" s="35"/>
      <c r="E3" s="35"/>
      <c r="F3" s="35"/>
      <c r="G3" s="35"/>
      <c r="H3" s="35"/>
      <c r="I3" s="35"/>
      <c r="J3" s="35"/>
      <c r="K3" s="35"/>
      <c r="L3" s="41"/>
    </row>
    <row r="4" spans="2:12">
      <c r="B4" s="65" t="s">
        <v>418</v>
      </c>
      <c r="C4" s="66"/>
      <c r="D4" s="35"/>
      <c r="E4" s="35"/>
      <c r="F4" s="67" t="s">
        <v>419</v>
      </c>
      <c r="G4" s="66"/>
      <c r="H4" s="35"/>
      <c r="I4" s="35"/>
      <c r="J4" s="67" t="s">
        <v>420</v>
      </c>
      <c r="K4" s="66"/>
      <c r="L4" s="41"/>
    </row>
    <row r="5" spans="2:12">
      <c r="B5" s="43" t="s">
        <v>281</v>
      </c>
      <c r="C5" s="62" t="s">
        <v>282</v>
      </c>
      <c r="D5" s="35"/>
      <c r="E5" s="35"/>
      <c r="F5" s="62" t="s">
        <v>280</v>
      </c>
      <c r="G5" s="62" t="s">
        <v>282</v>
      </c>
      <c r="H5" s="35"/>
      <c r="I5" s="35"/>
      <c r="J5" s="62" t="s">
        <v>280</v>
      </c>
      <c r="K5" s="62" t="s">
        <v>282</v>
      </c>
      <c r="L5" s="41"/>
    </row>
    <row r="6" spans="2:12">
      <c r="B6" s="6">
        <v>90</v>
      </c>
      <c r="C6" s="7">
        <v>0.878</v>
      </c>
      <c r="D6" s="35"/>
      <c r="E6" s="35"/>
      <c r="F6" s="7">
        <v>203</v>
      </c>
      <c r="G6" s="7">
        <v>0.95499999999999996</v>
      </c>
      <c r="H6" s="35"/>
      <c r="I6" s="35"/>
      <c r="J6" s="7">
        <v>71</v>
      </c>
      <c r="K6" s="7">
        <v>0.65700000000000003</v>
      </c>
      <c r="L6" s="41"/>
    </row>
    <row r="7" spans="2:12">
      <c r="B7" s="6">
        <v>132</v>
      </c>
      <c r="C7" s="7">
        <v>0.88700000000000001</v>
      </c>
      <c r="D7" s="35"/>
      <c r="E7" s="35"/>
      <c r="F7" s="7">
        <v>233</v>
      </c>
      <c r="G7" s="7">
        <v>0.96899999999999997</v>
      </c>
      <c r="H7" s="35"/>
      <c r="I7" s="35"/>
      <c r="J7" s="7">
        <v>90</v>
      </c>
      <c r="K7" s="7">
        <v>0.66600000000000004</v>
      </c>
      <c r="L7" s="41"/>
    </row>
    <row r="8" spans="2:12">
      <c r="B8" s="6">
        <v>149</v>
      </c>
      <c r="C8" s="7">
        <v>0.89800000000000002</v>
      </c>
      <c r="D8" s="35"/>
      <c r="E8" s="35"/>
      <c r="F8" s="7">
        <v>273</v>
      </c>
      <c r="G8" s="7">
        <v>0.96899999999999997</v>
      </c>
      <c r="H8" s="35"/>
      <c r="I8" s="35"/>
      <c r="J8" s="7">
        <v>135</v>
      </c>
      <c r="K8" s="7">
        <v>0.71699999999999997</v>
      </c>
      <c r="L8" s="41"/>
    </row>
    <row r="9" spans="2:12">
      <c r="B9" s="6">
        <v>166</v>
      </c>
      <c r="C9" s="7">
        <v>0.91700000000000004</v>
      </c>
      <c r="D9" s="35"/>
      <c r="E9" s="35"/>
      <c r="F9" s="7">
        <v>314</v>
      </c>
      <c r="G9" s="7">
        <v>0.96899999999999997</v>
      </c>
      <c r="H9" s="35"/>
      <c r="I9" s="35"/>
      <c r="J9" s="7">
        <v>150</v>
      </c>
      <c r="K9" s="7">
        <v>0.73199999999999998</v>
      </c>
      <c r="L9" s="41"/>
    </row>
    <row r="10" spans="2:12">
      <c r="B10" s="6">
        <v>202</v>
      </c>
      <c r="C10" s="7">
        <v>0.93200000000000005</v>
      </c>
      <c r="D10" s="35"/>
      <c r="E10" s="35"/>
      <c r="F10" s="35"/>
      <c r="G10" s="35"/>
      <c r="H10" s="35"/>
      <c r="I10" s="35"/>
      <c r="J10" s="7">
        <v>200</v>
      </c>
      <c r="K10" s="7">
        <v>0.77300000000000002</v>
      </c>
      <c r="L10" s="41"/>
    </row>
    <row r="11" spans="2:12">
      <c r="B11" s="6">
        <v>255</v>
      </c>
      <c r="C11" s="7">
        <v>0.94099999999999995</v>
      </c>
      <c r="D11" s="35"/>
      <c r="E11" s="35"/>
      <c r="F11" s="35"/>
      <c r="G11" s="35"/>
      <c r="H11" s="35"/>
      <c r="I11" s="35"/>
      <c r="J11" s="7">
        <v>254</v>
      </c>
      <c r="K11" s="7">
        <v>0.81299999999999994</v>
      </c>
      <c r="L11" s="41"/>
    </row>
    <row r="12" spans="2:12">
      <c r="B12" s="6">
        <v>301</v>
      </c>
      <c r="C12" s="7">
        <v>0.94699999999999995</v>
      </c>
      <c r="D12" s="35"/>
      <c r="E12" s="35"/>
      <c r="F12" s="35"/>
      <c r="G12" s="35"/>
      <c r="H12" s="35"/>
      <c r="I12" s="35"/>
      <c r="J12" s="7">
        <v>301</v>
      </c>
      <c r="K12" s="7">
        <v>0.82399999999999995</v>
      </c>
      <c r="L12" s="41"/>
    </row>
    <row r="13" spans="2:12">
      <c r="B13" s="64"/>
      <c r="C13" s="35"/>
      <c r="D13" s="35"/>
      <c r="E13" s="35"/>
      <c r="F13" s="35"/>
      <c r="G13" s="35"/>
      <c r="H13" s="35"/>
      <c r="I13" s="35"/>
      <c r="J13" s="35"/>
      <c r="K13" s="35"/>
      <c r="L13" s="41"/>
    </row>
    <row r="14" spans="2:12">
      <c r="B14" s="64"/>
      <c r="C14" s="269" t="s">
        <v>421</v>
      </c>
      <c r="D14" s="269"/>
      <c r="E14" s="269"/>
      <c r="F14" s="269"/>
      <c r="G14" s="269"/>
      <c r="H14" s="269"/>
      <c r="I14" s="35"/>
      <c r="J14" s="35"/>
      <c r="K14" s="35"/>
      <c r="L14" s="41"/>
    </row>
    <row r="15" spans="2:12">
      <c r="B15" s="43" t="s">
        <v>281</v>
      </c>
      <c r="C15" s="62" t="s">
        <v>283</v>
      </c>
      <c r="D15" s="62" t="s">
        <v>284</v>
      </c>
      <c r="E15" s="62" t="s">
        <v>285</v>
      </c>
      <c r="F15" s="62" t="s">
        <v>286</v>
      </c>
      <c r="G15" s="62" t="s">
        <v>287</v>
      </c>
      <c r="H15" s="62" t="s">
        <v>288</v>
      </c>
      <c r="I15" s="35"/>
      <c r="J15" s="35"/>
      <c r="K15" s="35"/>
      <c r="L15" s="41"/>
    </row>
    <row r="16" spans="2:12">
      <c r="B16" s="6">
        <v>30</v>
      </c>
      <c r="C16" s="63">
        <v>9.8480165070291489E-2</v>
      </c>
      <c r="D16" s="63">
        <v>0.84436459063324754</v>
      </c>
      <c r="E16" s="63">
        <v>0.77932888007514889</v>
      </c>
      <c r="F16" s="63">
        <v>0.5869081167588629</v>
      </c>
      <c r="G16" s="63">
        <v>0.61802606119483283</v>
      </c>
      <c r="H16" s="63">
        <v>0.56931426782173067</v>
      </c>
      <c r="I16" s="35"/>
      <c r="J16" s="35"/>
      <c r="K16" s="35"/>
      <c r="L16" s="41"/>
    </row>
    <row r="17" spans="2:12">
      <c r="B17" s="6">
        <v>35</v>
      </c>
      <c r="C17" s="63">
        <v>0.13081981164644779</v>
      </c>
      <c r="D17" s="63">
        <v>0.89066033469018557</v>
      </c>
      <c r="E17" s="63">
        <v>0.8312197752496262</v>
      </c>
      <c r="F17" s="63">
        <v>0.64675892101265242</v>
      </c>
      <c r="G17" s="63">
        <v>0.64593118324461618</v>
      </c>
      <c r="H17" s="63">
        <v>0.59734196152106611</v>
      </c>
      <c r="I17" s="35"/>
      <c r="J17" s="35"/>
      <c r="K17" s="35"/>
      <c r="L17" s="41"/>
    </row>
    <row r="18" spans="2:12">
      <c r="B18" s="6">
        <v>40</v>
      </c>
      <c r="C18" s="63">
        <v>0.16315945822260411</v>
      </c>
      <c r="D18" s="63">
        <v>0.93094898468032816</v>
      </c>
      <c r="E18" s="63">
        <v>0.86661969870925104</v>
      </c>
      <c r="F18" s="63">
        <v>0.70272979508054145</v>
      </c>
      <c r="G18" s="63">
        <v>0.67956024075427068</v>
      </c>
      <c r="H18" s="63">
        <v>0.62536965522040167</v>
      </c>
      <c r="I18" s="35"/>
      <c r="J18" s="35"/>
      <c r="K18" s="35"/>
      <c r="L18" s="41"/>
    </row>
    <row r="19" spans="2:12">
      <c r="B19" s="6">
        <v>45</v>
      </c>
      <c r="C19" s="63">
        <v>0.19556141457504214</v>
      </c>
      <c r="D19" s="63">
        <v>0.94729847267160705</v>
      </c>
      <c r="E19" s="63">
        <v>0.88685288592005018</v>
      </c>
      <c r="F19" s="63">
        <v>0.74311658490762977</v>
      </c>
      <c r="G19" s="63">
        <v>0.70625456632919337</v>
      </c>
      <c r="H19" s="63">
        <v>0.65236318407960214</v>
      </c>
      <c r="I19" s="35"/>
      <c r="J19" s="35"/>
      <c r="K19" s="35"/>
      <c r="L19" s="41"/>
    </row>
    <row r="20" spans="2:12">
      <c r="B20" s="6">
        <v>50</v>
      </c>
      <c r="C20" s="63">
        <v>0.22831116536502657</v>
      </c>
      <c r="D20" s="63">
        <v>0.94893784618239274</v>
      </c>
      <c r="E20" s="63">
        <v>0.89724179983410157</v>
      </c>
      <c r="F20" s="63">
        <v>0.78124528870797538</v>
      </c>
      <c r="G20" s="63">
        <v>0.72597551702029328</v>
      </c>
      <c r="H20" s="63">
        <v>0.66842071692817973</v>
      </c>
      <c r="I20" s="35"/>
      <c r="J20" s="35"/>
      <c r="K20" s="35"/>
      <c r="L20" s="41"/>
    </row>
    <row r="21" spans="2:12">
      <c r="B21" s="6">
        <v>55</v>
      </c>
      <c r="C21" s="63">
        <v>0.26106091615501098</v>
      </c>
      <c r="D21" s="63">
        <v>0.95320488288341343</v>
      </c>
      <c r="E21" s="63">
        <v>0.90277358148528619</v>
      </c>
      <c r="F21" s="63">
        <v>0.8106869498660545</v>
      </c>
      <c r="G21" s="63">
        <v>0.7349844185665082</v>
      </c>
      <c r="H21" s="63">
        <v>0.68447824977675742</v>
      </c>
      <c r="I21" s="35"/>
      <c r="J21" s="35"/>
      <c r="K21" s="35"/>
      <c r="L21" s="41"/>
    </row>
    <row r="22" spans="2:12">
      <c r="B22" s="6">
        <v>60</v>
      </c>
      <c r="C22" s="63">
        <v>0.29244025987580952</v>
      </c>
      <c r="D22" s="63">
        <v>0.95747191958443401</v>
      </c>
      <c r="E22" s="63">
        <v>0.90830536313647092</v>
      </c>
      <c r="F22" s="63">
        <v>0.8360870472810773</v>
      </c>
      <c r="G22" s="63">
        <v>0.74399332011272312</v>
      </c>
      <c r="H22" s="63">
        <v>0.700535782625335</v>
      </c>
      <c r="I22" s="35"/>
      <c r="J22" s="35"/>
      <c r="K22" s="35"/>
      <c r="L22" s="41"/>
    </row>
    <row r="23" spans="2:12">
      <c r="B23" s="6">
        <v>65</v>
      </c>
      <c r="C23" s="63">
        <v>0.31519001125514029</v>
      </c>
      <c r="D23" s="63">
        <v>0.96173895628545469</v>
      </c>
      <c r="E23" s="63">
        <v>0.91383714478765554</v>
      </c>
      <c r="F23" s="63">
        <v>0.85016332479019063</v>
      </c>
      <c r="G23" s="63">
        <v>0.74701471037208089</v>
      </c>
      <c r="H23" s="63">
        <v>0.70955026479036876</v>
      </c>
      <c r="I23" s="35"/>
      <c r="J23" s="35"/>
      <c r="K23" s="35"/>
      <c r="L23" s="41"/>
    </row>
    <row r="24" spans="2:12">
      <c r="B24" s="6">
        <v>70</v>
      </c>
      <c r="C24" s="63">
        <v>0.33793976263447106</v>
      </c>
      <c r="D24" s="63">
        <v>0.9657650165594317</v>
      </c>
      <c r="E24" s="63">
        <v>0.91936892643884016</v>
      </c>
      <c r="F24" s="63">
        <v>0.86262007754545078</v>
      </c>
      <c r="G24" s="63">
        <v>0.74917977098087796</v>
      </c>
      <c r="H24" s="63">
        <v>0.71811851354356238</v>
      </c>
      <c r="I24" s="35"/>
      <c r="J24" s="35"/>
      <c r="K24" s="35"/>
      <c r="L24" s="41"/>
    </row>
    <row r="25" spans="2:12">
      <c r="B25" s="6">
        <v>75</v>
      </c>
      <c r="C25" s="63">
        <v>0.36068951401380184</v>
      </c>
      <c r="D25" s="63">
        <v>0.96774277720353807</v>
      </c>
      <c r="E25" s="63">
        <v>0.92446956029045591</v>
      </c>
      <c r="F25" s="63">
        <v>0.87507683030071104</v>
      </c>
      <c r="G25" s="63">
        <v>0.75134483158967491</v>
      </c>
      <c r="H25" s="63">
        <v>0.72668676229675599</v>
      </c>
      <c r="I25" s="35"/>
      <c r="J25" s="35"/>
      <c r="K25" s="35"/>
      <c r="L25" s="41"/>
    </row>
    <row r="26" spans="2:12">
      <c r="B26" s="6">
        <v>80</v>
      </c>
      <c r="C26" s="63">
        <v>0.38343926539313261</v>
      </c>
      <c r="D26" s="63">
        <v>0.96972053784764445</v>
      </c>
      <c r="E26" s="63">
        <v>0.92647153841183705</v>
      </c>
      <c r="F26" s="63">
        <v>0.8875335830559713</v>
      </c>
      <c r="G26" s="63">
        <v>0.75350989219847186</v>
      </c>
      <c r="H26" s="63">
        <v>0.7352550110499495</v>
      </c>
      <c r="I26" s="35"/>
      <c r="J26" s="35"/>
      <c r="K26" s="35"/>
      <c r="L26" s="41"/>
    </row>
    <row r="27" spans="2:12">
      <c r="B27" s="6">
        <v>85</v>
      </c>
      <c r="C27" s="63">
        <v>0.40608324547325214</v>
      </c>
      <c r="D27" s="63">
        <v>0.97169829849175071</v>
      </c>
      <c r="E27" s="63">
        <v>0.92847351653321819</v>
      </c>
      <c r="F27" s="63">
        <v>0.89999033581123145</v>
      </c>
      <c r="G27" s="63">
        <v>0.75567495280726893</v>
      </c>
      <c r="H27" s="63">
        <v>0.74382325980314312</v>
      </c>
      <c r="I27" s="35"/>
      <c r="J27" s="35"/>
      <c r="K27" s="35"/>
      <c r="L27" s="41"/>
    </row>
    <row r="28" spans="2:12">
      <c r="B28" s="6">
        <v>90</v>
      </c>
      <c r="C28" s="63">
        <v>0.42766253862944342</v>
      </c>
      <c r="D28" s="63">
        <v>0.97354138398914536</v>
      </c>
      <c r="E28" s="63">
        <v>0.93047549465459922</v>
      </c>
      <c r="F28" s="63">
        <v>0.9124470885664917</v>
      </c>
      <c r="G28" s="63">
        <v>0.75782827347584225</v>
      </c>
      <c r="H28" s="63">
        <v>0.75239150855633674</v>
      </c>
      <c r="I28" s="35"/>
      <c r="J28" s="35"/>
      <c r="K28" s="35"/>
      <c r="L28" s="41"/>
    </row>
    <row r="29" spans="2:12">
      <c r="B29" s="6">
        <v>95</v>
      </c>
      <c r="C29" s="63">
        <v>0.4492418317856347</v>
      </c>
      <c r="D29" s="63">
        <v>0.97269962059649995</v>
      </c>
      <c r="E29" s="63">
        <v>0.93247747277598036</v>
      </c>
      <c r="F29" s="63">
        <v>0.9158697451908816</v>
      </c>
      <c r="G29" s="63">
        <v>0.75971185504165784</v>
      </c>
      <c r="H29" s="63">
        <v>0.75964315057311627</v>
      </c>
      <c r="I29" s="35"/>
      <c r="J29" s="35"/>
      <c r="K29" s="35"/>
      <c r="L29" s="41"/>
    </row>
    <row r="30" spans="2:12">
      <c r="B30" s="6">
        <v>100</v>
      </c>
      <c r="C30" s="63">
        <v>0.47082112494182593</v>
      </c>
      <c r="D30" s="63">
        <v>0.97474709822063976</v>
      </c>
      <c r="E30" s="63">
        <v>0.93447945089736151</v>
      </c>
      <c r="F30" s="63">
        <v>0.91907183385276803</v>
      </c>
      <c r="G30" s="63">
        <v>0.76159543660747331</v>
      </c>
      <c r="H30" s="63">
        <v>0.7667655727357221</v>
      </c>
      <c r="I30" s="35"/>
      <c r="J30" s="35"/>
      <c r="K30" s="35"/>
      <c r="L30" s="41"/>
    </row>
    <row r="31" spans="2:12">
      <c r="B31" s="6">
        <v>105</v>
      </c>
      <c r="C31" s="63">
        <v>0.49240041809801721</v>
      </c>
      <c r="D31" s="63">
        <v>0.97679457584477947</v>
      </c>
      <c r="E31" s="63">
        <v>0.93648142901874254</v>
      </c>
      <c r="F31" s="63">
        <v>0.92227392251465445</v>
      </c>
      <c r="G31" s="63">
        <v>0.76347901817328889</v>
      </c>
      <c r="H31" s="63">
        <v>0.77388799489832805</v>
      </c>
      <c r="I31" s="35"/>
      <c r="J31" s="35"/>
      <c r="K31" s="35"/>
      <c r="L31" s="41"/>
    </row>
    <row r="32" spans="2:12">
      <c r="B32" s="6">
        <v>110</v>
      </c>
      <c r="C32" s="63">
        <v>0.51190653069494174</v>
      </c>
      <c r="D32" s="63">
        <v>0.97884205346891928</v>
      </c>
      <c r="E32" s="63">
        <v>0.93848340714012368</v>
      </c>
      <c r="F32" s="63">
        <v>0.92547601117654088</v>
      </c>
      <c r="G32" s="63">
        <v>0.76536259973910448</v>
      </c>
      <c r="H32" s="63">
        <v>0.78101041706093388</v>
      </c>
      <c r="I32" s="35"/>
      <c r="J32" s="35"/>
      <c r="K32" s="35"/>
      <c r="L32" s="41"/>
    </row>
    <row r="33" spans="2:12">
      <c r="B33" s="6">
        <v>115</v>
      </c>
      <c r="C33" s="63">
        <v>0.52983601122319313</v>
      </c>
      <c r="D33" s="63">
        <v>0.98088953109305899</v>
      </c>
      <c r="E33" s="63">
        <v>0.94048538526150482</v>
      </c>
      <c r="F33" s="63">
        <v>0.92867809983842731</v>
      </c>
      <c r="G33" s="63">
        <v>0.76724618130492006</v>
      </c>
      <c r="H33" s="63">
        <v>0.78813283922353972</v>
      </c>
      <c r="I33" s="35"/>
      <c r="J33" s="35"/>
      <c r="K33" s="35"/>
      <c r="L33" s="41"/>
    </row>
    <row r="34" spans="2:12">
      <c r="B34" s="6">
        <v>120</v>
      </c>
      <c r="C34" s="63">
        <v>0.54776549175144451</v>
      </c>
      <c r="D34" s="63">
        <v>0.98288165436121322</v>
      </c>
      <c r="E34" s="63">
        <v>0.94248736338288586</v>
      </c>
      <c r="F34" s="63">
        <v>0.93188018850031373</v>
      </c>
      <c r="G34" s="63">
        <v>0.76912976287073553</v>
      </c>
      <c r="H34" s="63">
        <v>0.79525526138614566</v>
      </c>
      <c r="I34" s="35"/>
      <c r="J34" s="35"/>
      <c r="K34" s="35"/>
      <c r="L34" s="41"/>
    </row>
    <row r="35" spans="2:12">
      <c r="B35" s="6">
        <v>125</v>
      </c>
      <c r="C35" s="63">
        <v>0.56569497227969578</v>
      </c>
      <c r="D35" s="63">
        <v>0.98421449305615449</v>
      </c>
      <c r="E35" s="63">
        <v>0.94332341978725454</v>
      </c>
      <c r="F35" s="63">
        <v>0.92694113229368003</v>
      </c>
      <c r="G35" s="63">
        <v>0.77154811699828563</v>
      </c>
      <c r="H35" s="63">
        <v>0.80009363663672783</v>
      </c>
      <c r="I35" s="35"/>
      <c r="J35" s="35"/>
      <c r="K35" s="35"/>
      <c r="L35" s="41"/>
    </row>
    <row r="36" spans="2:12">
      <c r="B36" s="6">
        <v>130</v>
      </c>
      <c r="C36" s="63">
        <v>0.58362445280794728</v>
      </c>
      <c r="D36" s="63">
        <v>0.98554733175109566</v>
      </c>
      <c r="E36" s="63">
        <v>0.94409341137240121</v>
      </c>
      <c r="F36" s="63">
        <v>0.92090068106537493</v>
      </c>
      <c r="G36" s="63">
        <v>0.77399677303384595</v>
      </c>
      <c r="H36" s="63">
        <v>0.80480259055126668</v>
      </c>
      <c r="I36" s="35"/>
      <c r="J36" s="35"/>
      <c r="K36" s="35"/>
      <c r="L36" s="41"/>
    </row>
    <row r="37" spans="2:12">
      <c r="B37" s="6">
        <v>135</v>
      </c>
      <c r="C37" s="63">
        <v>0.60155393333619855</v>
      </c>
      <c r="D37" s="63">
        <v>0.98688017044603693</v>
      </c>
      <c r="E37" s="63">
        <v>0.94486340295754778</v>
      </c>
      <c r="F37" s="63">
        <v>0.92560960494729161</v>
      </c>
      <c r="G37" s="63">
        <v>0.77644542906940617</v>
      </c>
      <c r="H37" s="63">
        <v>0.80951154446580553</v>
      </c>
      <c r="I37" s="35"/>
      <c r="J37" s="35"/>
      <c r="K37" s="35"/>
      <c r="L37" s="41"/>
    </row>
    <row r="38" spans="2:12">
      <c r="B38" s="6">
        <v>140</v>
      </c>
      <c r="C38" s="63">
        <v>0.61832927314032438</v>
      </c>
      <c r="D38" s="63">
        <v>0.9882130091409782</v>
      </c>
      <c r="E38" s="63">
        <v>0.94563339454269435</v>
      </c>
      <c r="F38" s="63">
        <v>0.93053634798037799</v>
      </c>
      <c r="G38" s="63">
        <v>0.77889408510496638</v>
      </c>
      <c r="H38" s="63">
        <v>0.81422049838034449</v>
      </c>
      <c r="I38" s="35"/>
      <c r="J38" s="35"/>
      <c r="K38" s="35"/>
      <c r="L38" s="41"/>
    </row>
    <row r="39" spans="2:12">
      <c r="B39" s="6">
        <v>145</v>
      </c>
      <c r="C39" s="63">
        <v>0.63510116431678842</v>
      </c>
      <c r="D39" s="63">
        <v>0.98954584783591937</v>
      </c>
      <c r="E39" s="63">
        <v>0.94640338612784092</v>
      </c>
      <c r="F39" s="63">
        <v>0.93546309101346425</v>
      </c>
      <c r="G39" s="63">
        <v>0.7813427411405266</v>
      </c>
      <c r="H39" s="63">
        <v>0.81892945229488334</v>
      </c>
      <c r="I39" s="35"/>
      <c r="J39" s="35"/>
      <c r="K39" s="35"/>
      <c r="L39" s="41"/>
    </row>
    <row r="40" spans="2:12">
      <c r="B40" s="6">
        <v>150</v>
      </c>
      <c r="C40" s="63">
        <v>0.65187305549325247</v>
      </c>
      <c r="D40" s="63">
        <v>0.99076128493557492</v>
      </c>
      <c r="E40" s="63">
        <v>0.94717337771298749</v>
      </c>
      <c r="F40" s="63">
        <v>0.94038983404655063</v>
      </c>
      <c r="G40" s="63">
        <v>0.78379139717608681</v>
      </c>
      <c r="H40" s="63">
        <v>0.82363840620942219</v>
      </c>
      <c r="I40" s="35"/>
      <c r="J40" s="35"/>
      <c r="K40" s="35"/>
      <c r="L40" s="41"/>
    </row>
    <row r="41" spans="2:12">
      <c r="B41" s="6">
        <v>155</v>
      </c>
      <c r="C41" s="63">
        <v>0.66432710915216431</v>
      </c>
      <c r="D41" s="63">
        <v>0.98963113599608565</v>
      </c>
      <c r="E41" s="63">
        <v>0.94700013916431836</v>
      </c>
      <c r="F41" s="63">
        <v>0.94237424490652744</v>
      </c>
      <c r="G41" s="63">
        <v>0.77620522098134059</v>
      </c>
      <c r="H41" s="63">
        <v>0.82499513498365407</v>
      </c>
      <c r="I41" s="35"/>
      <c r="J41" s="35"/>
      <c r="K41" s="35"/>
      <c r="L41" s="41"/>
    </row>
    <row r="42" spans="2:12">
      <c r="B42" s="6">
        <v>160</v>
      </c>
      <c r="C42" s="63">
        <v>0.67638820685064882</v>
      </c>
      <c r="D42" s="63">
        <v>0.98850098705659628</v>
      </c>
      <c r="E42" s="63">
        <v>0.9468097336364697</v>
      </c>
      <c r="F42" s="63">
        <v>0.94355518705678032</v>
      </c>
      <c r="G42" s="63">
        <v>0.77617158960442556</v>
      </c>
      <c r="H42" s="63">
        <v>0.82576512656880063</v>
      </c>
      <c r="I42" s="35"/>
      <c r="J42" s="35"/>
      <c r="K42" s="35"/>
      <c r="L42" s="41"/>
    </row>
    <row r="43" spans="2:12">
      <c r="B43" s="6">
        <v>165</v>
      </c>
      <c r="C43" s="63">
        <v>0.68844930454913345</v>
      </c>
      <c r="D43" s="63">
        <v>0.98737083811710691</v>
      </c>
      <c r="E43" s="63">
        <v>0.94661932810862093</v>
      </c>
      <c r="F43" s="63">
        <v>0.9447361292070332</v>
      </c>
      <c r="G43" s="63">
        <v>0.77755453501722172</v>
      </c>
      <c r="H43" s="63">
        <v>0.8265351181539472</v>
      </c>
      <c r="I43" s="35"/>
      <c r="J43" s="35"/>
      <c r="K43" s="35"/>
      <c r="L43" s="41"/>
    </row>
    <row r="44" spans="2:12">
      <c r="B44" s="6">
        <v>170</v>
      </c>
      <c r="C44" s="63">
        <v>0.70051040224761796</v>
      </c>
      <c r="D44" s="63">
        <v>0.98624068917761754</v>
      </c>
      <c r="E44" s="63">
        <v>0.94642892258077216</v>
      </c>
      <c r="F44" s="63">
        <v>0.94591707135728609</v>
      </c>
      <c r="G44" s="63">
        <v>0.77893748043001787</v>
      </c>
      <c r="H44" s="63">
        <v>0.82730510973909377</v>
      </c>
      <c r="I44" s="35"/>
      <c r="J44" s="35"/>
      <c r="K44" s="35"/>
      <c r="L44" s="41"/>
    </row>
    <row r="45" spans="2:12">
      <c r="B45" s="6">
        <v>175</v>
      </c>
      <c r="C45" s="63">
        <v>0.71169650638161752</v>
      </c>
      <c r="D45" s="63">
        <v>0.98511054023812816</v>
      </c>
      <c r="E45" s="63">
        <v>0.94623851705292339</v>
      </c>
      <c r="F45" s="63">
        <v>0.94709801350753908</v>
      </c>
      <c r="G45" s="63">
        <v>0.78032042584281402</v>
      </c>
      <c r="H45" s="63">
        <v>0.82807510132424034</v>
      </c>
      <c r="I45" s="35"/>
      <c r="J45" s="35"/>
      <c r="K45" s="35"/>
      <c r="L45" s="41"/>
    </row>
    <row r="46" spans="2:12">
      <c r="B46" s="6">
        <v>180</v>
      </c>
      <c r="C46" s="63">
        <v>0.72280504351854935</v>
      </c>
      <c r="D46" s="63">
        <v>0.9839803912986389</v>
      </c>
      <c r="E46" s="63">
        <v>0.94604811152507473</v>
      </c>
      <c r="F46" s="63">
        <v>0.94827895565779197</v>
      </c>
      <c r="G46" s="63">
        <v>0.78170337125561018</v>
      </c>
      <c r="H46" s="63">
        <v>0.8288450929093869</v>
      </c>
      <c r="I46" s="35"/>
      <c r="J46" s="35"/>
      <c r="K46" s="35"/>
      <c r="L46" s="41"/>
    </row>
    <row r="47" spans="2:12">
      <c r="B47" s="6">
        <v>185</v>
      </c>
      <c r="C47" s="63">
        <v>0.73391358065548107</v>
      </c>
      <c r="D47" s="63">
        <v>0.982276621197402</v>
      </c>
      <c r="E47" s="63">
        <v>0.94531371721508017</v>
      </c>
      <c r="F47" s="63">
        <v>0.94869400646964452</v>
      </c>
      <c r="G47" s="63">
        <v>0.78287303222410309</v>
      </c>
      <c r="H47" s="63">
        <v>0.83062076361881698</v>
      </c>
      <c r="I47" s="35"/>
      <c r="J47" s="35"/>
      <c r="K47" s="35"/>
      <c r="L47" s="41"/>
    </row>
    <row r="48" spans="2:12">
      <c r="B48" s="6">
        <v>190</v>
      </c>
      <c r="C48" s="63">
        <v>0.7450221177924129</v>
      </c>
      <c r="D48" s="63">
        <v>0.98054414013082225</v>
      </c>
      <c r="E48" s="63">
        <v>0.9445520951036851</v>
      </c>
      <c r="F48" s="63">
        <v>0.94907072278280769</v>
      </c>
      <c r="G48" s="63">
        <v>0.7840154653911956</v>
      </c>
      <c r="H48" s="63">
        <v>0.83252481889730445</v>
      </c>
      <c r="I48" s="35"/>
      <c r="J48" s="35"/>
      <c r="K48" s="35"/>
      <c r="L48" s="41"/>
    </row>
    <row r="49" spans="2:12">
      <c r="B49" s="6">
        <v>195</v>
      </c>
      <c r="C49" s="63">
        <v>0.75613065492934461</v>
      </c>
      <c r="D49" s="63">
        <v>0.97881165906424239</v>
      </c>
      <c r="E49" s="63">
        <v>0.94379047299229013</v>
      </c>
      <c r="F49" s="63">
        <v>0.94944743909597074</v>
      </c>
      <c r="G49" s="63">
        <v>0.78515789855828799</v>
      </c>
      <c r="H49" s="63">
        <v>0.83442887417579192</v>
      </c>
      <c r="I49" s="35"/>
      <c r="J49" s="35"/>
      <c r="K49" s="35"/>
      <c r="L49" s="41"/>
    </row>
    <row r="50" spans="2:12">
      <c r="B50" s="6">
        <v>200</v>
      </c>
      <c r="C50" s="63">
        <v>0.76681991852043252</v>
      </c>
      <c r="D50" s="63">
        <v>0.97707917799766264</v>
      </c>
      <c r="E50" s="63">
        <v>0.94302885088089516</v>
      </c>
      <c r="F50" s="63">
        <v>0.9498241554091339</v>
      </c>
      <c r="G50" s="63">
        <v>0.7863003317253805</v>
      </c>
      <c r="H50" s="63">
        <v>0.83633292945427928</v>
      </c>
      <c r="I50" s="35"/>
      <c r="J50" s="35"/>
      <c r="K50" s="35"/>
      <c r="L50" s="41"/>
    </row>
    <row r="51" spans="2:12">
      <c r="B51" s="6">
        <v>205</v>
      </c>
      <c r="C51" s="63">
        <v>0.77715800226199072</v>
      </c>
      <c r="D51" s="63">
        <v>0.97534669693108289</v>
      </c>
      <c r="E51" s="63">
        <v>0.9422672287695002</v>
      </c>
      <c r="F51" s="63">
        <v>0.95020087172229706</v>
      </c>
      <c r="G51" s="63">
        <v>0.787442764892473</v>
      </c>
      <c r="H51" s="63">
        <v>0.83823698473276675</v>
      </c>
      <c r="I51" s="35"/>
      <c r="J51" s="35"/>
      <c r="K51" s="35"/>
      <c r="L51" s="41"/>
    </row>
    <row r="52" spans="2:12">
      <c r="B52" s="6">
        <v>210</v>
      </c>
      <c r="C52" s="63">
        <v>0.78749608600354881</v>
      </c>
      <c r="D52" s="63">
        <v>0.97361421586450303</v>
      </c>
      <c r="E52" s="63">
        <v>0.94150560665810523</v>
      </c>
      <c r="F52" s="63">
        <v>0.95057758803546011</v>
      </c>
      <c r="G52" s="63">
        <v>0.78858519805956551</v>
      </c>
      <c r="H52" s="63">
        <v>0.84014104001125423</v>
      </c>
      <c r="I52" s="35"/>
      <c r="J52" s="35"/>
      <c r="K52" s="35"/>
      <c r="L52" s="41"/>
    </row>
    <row r="53" spans="2:12">
      <c r="B53" s="6">
        <v>215</v>
      </c>
      <c r="C53" s="63">
        <v>0.79783416974510701</v>
      </c>
      <c r="D53" s="63">
        <v>0.97453425333048971</v>
      </c>
      <c r="E53" s="63">
        <v>0.94040400299427762</v>
      </c>
      <c r="F53" s="63">
        <v>0.95030510264124812</v>
      </c>
      <c r="G53" s="63">
        <v>0.78955568050416403</v>
      </c>
      <c r="H53" s="63">
        <v>0.84188191756329345</v>
      </c>
      <c r="I53" s="35"/>
      <c r="J53" s="35"/>
      <c r="K53" s="35"/>
      <c r="L53" s="41"/>
    </row>
    <row r="54" spans="2:12">
      <c r="B54" s="6">
        <v>220</v>
      </c>
      <c r="C54" s="63">
        <v>0.80666314994673216</v>
      </c>
      <c r="D54" s="63">
        <v>0.97548628096973344</v>
      </c>
      <c r="E54" s="63">
        <v>0.93927385405478825</v>
      </c>
      <c r="F54" s="63">
        <v>0.9499242915855507</v>
      </c>
      <c r="G54" s="63">
        <v>0.79049747128707182</v>
      </c>
      <c r="H54" s="63">
        <v>0.84359556731393215</v>
      </c>
      <c r="I54" s="35"/>
      <c r="J54" s="35"/>
      <c r="K54" s="35"/>
      <c r="L54" s="41"/>
    </row>
    <row r="55" spans="2:12">
      <c r="B55" s="6">
        <v>225</v>
      </c>
      <c r="C55" s="63">
        <v>0.81423820229790389</v>
      </c>
      <c r="D55" s="63">
        <v>0.97643830860897718</v>
      </c>
      <c r="E55" s="63">
        <v>0.93814370511529888</v>
      </c>
      <c r="F55" s="63">
        <v>0.94954348052985316</v>
      </c>
      <c r="G55" s="63">
        <v>0.79143926206997961</v>
      </c>
      <c r="H55" s="63">
        <v>0.84530921706457085</v>
      </c>
      <c r="I55" s="35"/>
      <c r="J55" s="35"/>
      <c r="K55" s="35"/>
      <c r="L55" s="41"/>
    </row>
    <row r="56" spans="2:12">
      <c r="B56" s="6">
        <v>230</v>
      </c>
      <c r="C56" s="63">
        <v>0.82175589638276225</v>
      </c>
      <c r="D56" s="63">
        <v>0.97739033624822091</v>
      </c>
      <c r="E56" s="63">
        <v>0.93701355617580961</v>
      </c>
      <c r="F56" s="63">
        <v>0.94916266947415562</v>
      </c>
      <c r="G56" s="63">
        <v>0.79238105285288729</v>
      </c>
      <c r="H56" s="63">
        <v>0.84702286681520955</v>
      </c>
      <c r="I56" s="35"/>
      <c r="J56" s="35"/>
      <c r="K56" s="35"/>
      <c r="L56" s="41"/>
    </row>
    <row r="57" spans="2:12">
      <c r="B57" s="6">
        <v>235</v>
      </c>
      <c r="C57" s="63">
        <v>0.82885750796198576</v>
      </c>
      <c r="D57" s="63">
        <v>0.97834236388746465</v>
      </c>
      <c r="E57" s="63">
        <v>0.93588340723632024</v>
      </c>
      <c r="F57" s="63">
        <v>0.94878185841845819</v>
      </c>
      <c r="G57" s="63">
        <v>0.79332284363579508</v>
      </c>
      <c r="H57" s="63">
        <v>0.84873651656584825</v>
      </c>
      <c r="I57" s="35"/>
      <c r="J57" s="35"/>
      <c r="K57" s="35"/>
      <c r="L57" s="41"/>
    </row>
    <row r="58" spans="2:12">
      <c r="B58" s="6">
        <v>240</v>
      </c>
      <c r="C58" s="63">
        <v>0.83595911954120927</v>
      </c>
      <c r="D58" s="63">
        <v>0.97929439152670839</v>
      </c>
      <c r="E58" s="63">
        <v>0.93475325829683087</v>
      </c>
      <c r="F58" s="63">
        <v>0.94840104736276065</v>
      </c>
      <c r="G58" s="63">
        <v>0.79426463441870288</v>
      </c>
      <c r="H58" s="63">
        <v>0.85045016631648707</v>
      </c>
      <c r="I58" s="35"/>
      <c r="J58" s="35"/>
      <c r="K58" s="35"/>
      <c r="L58" s="41"/>
    </row>
    <row r="59" spans="2:12">
      <c r="B59" s="6">
        <v>245</v>
      </c>
      <c r="C59" s="63">
        <v>0.84209350027000918</v>
      </c>
      <c r="D59" s="63">
        <v>0.97897309452437054</v>
      </c>
      <c r="E59" s="63">
        <v>0.93439874323915673</v>
      </c>
      <c r="F59" s="63">
        <v>0.94833524684270964</v>
      </c>
      <c r="G59" s="63">
        <v>0.79448909299655579</v>
      </c>
      <c r="H59" s="63">
        <v>0.85122397694154306</v>
      </c>
      <c r="I59" s="35"/>
      <c r="J59" s="35"/>
      <c r="K59" s="35"/>
      <c r="L59" s="41"/>
    </row>
    <row r="60" spans="2:12">
      <c r="B60" s="6">
        <v>250</v>
      </c>
      <c r="C60" s="63">
        <v>0.84780566610547159</v>
      </c>
      <c r="D60" s="63">
        <v>0.97859637821120748</v>
      </c>
      <c r="E60" s="63">
        <v>0.93420624534287011</v>
      </c>
      <c r="F60" s="63">
        <v>0.94833524684270964</v>
      </c>
      <c r="G60" s="63">
        <v>0.79448909299655579</v>
      </c>
      <c r="H60" s="63">
        <v>0.85180147063040301</v>
      </c>
      <c r="I60" s="35"/>
      <c r="J60" s="35"/>
      <c r="K60" s="35"/>
      <c r="L60" s="41"/>
    </row>
    <row r="61" spans="2:12">
      <c r="B61" s="6">
        <v>255</v>
      </c>
      <c r="C61" s="63">
        <v>0.853517831940934</v>
      </c>
      <c r="D61" s="63">
        <v>0.97821966189804432</v>
      </c>
      <c r="E61" s="63">
        <v>0.93401374744658339</v>
      </c>
      <c r="F61" s="63">
        <v>0.94833524684270964</v>
      </c>
      <c r="G61" s="63">
        <v>0.79448909299655579</v>
      </c>
      <c r="H61" s="63">
        <v>0.85237896431926297</v>
      </c>
      <c r="I61" s="35"/>
      <c r="J61" s="35"/>
      <c r="K61" s="35"/>
      <c r="L61" s="41"/>
    </row>
    <row r="62" spans="2:12">
      <c r="B62" s="6">
        <v>260</v>
      </c>
      <c r="C62" s="63">
        <v>0.85709934792391373</v>
      </c>
      <c r="D62" s="63">
        <v>0.97784294558488116</v>
      </c>
      <c r="E62" s="63">
        <v>0.93382124955029677</v>
      </c>
      <c r="F62" s="63">
        <v>0.94833524684270964</v>
      </c>
      <c r="G62" s="63">
        <v>0.79448909299655579</v>
      </c>
      <c r="H62" s="63">
        <v>0.85295645800812281</v>
      </c>
      <c r="I62" s="35"/>
      <c r="J62" s="35"/>
      <c r="K62" s="35"/>
      <c r="L62" s="41"/>
    </row>
    <row r="63" spans="2:12">
      <c r="B63" s="6">
        <v>265</v>
      </c>
      <c r="C63" s="63">
        <v>0.85968386885930326</v>
      </c>
      <c r="D63" s="63">
        <v>0.97746622927171811</v>
      </c>
      <c r="E63" s="63">
        <v>0.93362875165401016</v>
      </c>
      <c r="F63" s="63">
        <v>0.94833524684270964</v>
      </c>
      <c r="G63" s="63">
        <v>0.79448909299655579</v>
      </c>
      <c r="H63" s="63">
        <v>0.85353395169698276</v>
      </c>
      <c r="I63" s="35"/>
      <c r="J63" s="35"/>
      <c r="K63" s="35"/>
      <c r="L63" s="41"/>
    </row>
    <row r="64" spans="2:12">
      <c r="B64" s="6">
        <v>270</v>
      </c>
      <c r="C64" s="63">
        <v>0.86226838979469278</v>
      </c>
      <c r="D64" s="63">
        <v>0.97708951295855495</v>
      </c>
      <c r="E64" s="63">
        <v>0.93343625375772354</v>
      </c>
      <c r="F64" s="63">
        <v>0.94833524684270964</v>
      </c>
      <c r="G64" s="63">
        <v>0.79448909299655579</v>
      </c>
      <c r="H64" s="63">
        <v>0.85411144538584272</v>
      </c>
      <c r="I64" s="35"/>
      <c r="J64" s="35"/>
      <c r="K64" s="35"/>
      <c r="L64" s="41"/>
    </row>
    <row r="65" spans="2:12">
      <c r="B65" s="6">
        <v>275</v>
      </c>
      <c r="C65" s="63">
        <v>0.8648529107300823</v>
      </c>
      <c r="D65" s="63">
        <v>0.97587506255703738</v>
      </c>
      <c r="E65" s="63">
        <v>0.93275262483568799</v>
      </c>
      <c r="F65" s="63">
        <v>0.94751368575184292</v>
      </c>
      <c r="G65" s="63">
        <v>0.79367636589591339</v>
      </c>
      <c r="H65" s="63">
        <v>0.85468893907470267</v>
      </c>
      <c r="I65" s="35"/>
      <c r="J65" s="35"/>
      <c r="K65" s="35"/>
      <c r="L65" s="41"/>
    </row>
    <row r="66" spans="2:12">
      <c r="B66" s="6">
        <v>280</v>
      </c>
      <c r="C66" s="63">
        <v>0.87763977316216124</v>
      </c>
      <c r="D66" s="63">
        <v>0.97452757728303097</v>
      </c>
      <c r="E66" s="63">
        <v>0.93199100272429303</v>
      </c>
      <c r="F66" s="63">
        <v>0.94656165811259918</v>
      </c>
      <c r="G66" s="63">
        <v>0.7927345751130056</v>
      </c>
      <c r="H66" s="63">
        <v>0.85526643276356251</v>
      </c>
      <c r="I66" s="35"/>
      <c r="J66" s="35"/>
      <c r="K66" s="35"/>
      <c r="L66" s="41"/>
    </row>
    <row r="67" spans="2:12">
      <c r="B67" s="6">
        <v>285</v>
      </c>
      <c r="C67" s="63">
        <v>0.88513487868983132</v>
      </c>
      <c r="D67" s="63">
        <v>0.97318009200902444</v>
      </c>
      <c r="E67" s="63">
        <v>0.93122938061289795</v>
      </c>
      <c r="F67" s="63">
        <v>0.94560963047335544</v>
      </c>
      <c r="G67" s="63">
        <v>0.79179278433009792</v>
      </c>
      <c r="H67" s="63">
        <v>0.85584392645242247</v>
      </c>
      <c r="I67" s="35"/>
      <c r="J67" s="35"/>
      <c r="K67" s="35"/>
      <c r="L67" s="41"/>
    </row>
    <row r="68" spans="2:12">
      <c r="B68" s="6">
        <v>290</v>
      </c>
      <c r="C68" s="63">
        <v>0.88274615479500151</v>
      </c>
      <c r="D68" s="63">
        <v>0.97183260673501792</v>
      </c>
      <c r="E68" s="63">
        <v>0.93046775850150298</v>
      </c>
      <c r="F68" s="63">
        <v>0.94465760283411171</v>
      </c>
      <c r="G68" s="63">
        <v>0.79085099354719013</v>
      </c>
      <c r="H68" s="63">
        <v>0.85642142014128242</v>
      </c>
      <c r="I68" s="35"/>
      <c r="J68" s="35"/>
      <c r="K68" s="35"/>
      <c r="L68" s="41"/>
    </row>
    <row r="69" spans="2:12">
      <c r="B69" s="6">
        <v>295</v>
      </c>
      <c r="C69" s="63">
        <v>0.88035743090017182</v>
      </c>
      <c r="D69" s="63">
        <v>0.9704851214610114</v>
      </c>
      <c r="E69" s="63">
        <v>0.92970613639010802</v>
      </c>
      <c r="F69" s="63">
        <v>0.94370557519486797</v>
      </c>
      <c r="G69" s="63">
        <v>0.78990920276428234</v>
      </c>
      <c r="H69" s="63">
        <v>0.85699891383014237</v>
      </c>
      <c r="I69" s="35"/>
      <c r="J69" s="35"/>
      <c r="K69" s="35"/>
      <c r="L69" s="41"/>
    </row>
    <row r="70" spans="2:12">
      <c r="B70" s="6">
        <v>300</v>
      </c>
      <c r="C70" s="63">
        <v>0.87796870700534202</v>
      </c>
      <c r="D70" s="63">
        <v>0.96913763618700488</v>
      </c>
      <c r="E70" s="63">
        <v>0.92894451427871305</v>
      </c>
      <c r="F70" s="63">
        <v>0.94275354755562424</v>
      </c>
      <c r="G70" s="63">
        <v>0.78896741198137454</v>
      </c>
      <c r="H70" s="63">
        <v>0.85757640751900233</v>
      </c>
      <c r="I70" s="35"/>
      <c r="J70" s="35"/>
      <c r="K70" s="35"/>
      <c r="L70" s="41"/>
    </row>
    <row r="71" spans="2:12">
      <c r="B71" s="6">
        <v>305</v>
      </c>
      <c r="C71" s="63">
        <v>0.87557998311051222</v>
      </c>
      <c r="D71" s="63">
        <v>0.96865890976857894</v>
      </c>
      <c r="E71" s="63">
        <v>0.92630896000765428</v>
      </c>
      <c r="F71" s="63">
        <v>0.94259471871412182</v>
      </c>
      <c r="G71" s="63">
        <v>0.78859915650960444</v>
      </c>
      <c r="H71" s="63">
        <v>0.85815390120786228</v>
      </c>
      <c r="I71" s="35"/>
      <c r="J71" s="35"/>
      <c r="K71" s="35"/>
      <c r="L71" s="41"/>
    </row>
    <row r="72" spans="2:12">
      <c r="B72" s="6">
        <v>310</v>
      </c>
      <c r="C72" s="63">
        <v>0.87319125921568252</v>
      </c>
      <c r="D72" s="63">
        <v>0.96827809871288151</v>
      </c>
      <c r="E72" s="63">
        <v>0.92329817259854596</v>
      </c>
      <c r="F72" s="63">
        <v>0.94259471871412182</v>
      </c>
      <c r="G72" s="63">
        <v>0.78840451974780346</v>
      </c>
      <c r="H72" s="63">
        <v>0.85873139489672223</v>
      </c>
      <c r="I72" s="35"/>
      <c r="J72" s="35"/>
      <c r="K72" s="35"/>
      <c r="L72" s="41"/>
    </row>
    <row r="73" spans="2:12">
      <c r="B73" s="6">
        <v>315</v>
      </c>
      <c r="C73" s="63">
        <v>0.87080253532085272</v>
      </c>
      <c r="D73" s="63">
        <v>0.96789728765718397</v>
      </c>
      <c r="E73" s="63">
        <v>0.92028738518943765</v>
      </c>
      <c r="F73" s="63">
        <v>0.94259471871412182</v>
      </c>
      <c r="G73" s="63">
        <v>0.78820988298600247</v>
      </c>
      <c r="H73" s="63">
        <v>0.85930888858558219</v>
      </c>
      <c r="I73" s="35"/>
      <c r="J73" s="35"/>
      <c r="K73" s="35"/>
      <c r="L73" s="41"/>
    </row>
    <row r="74" spans="2:12">
      <c r="B74" s="6">
        <v>320</v>
      </c>
      <c r="C74" s="63">
        <v>0.86841381142602303</v>
      </c>
      <c r="D74" s="63">
        <v>0.96751647660148643</v>
      </c>
      <c r="E74" s="63">
        <v>0.91727659778032933</v>
      </c>
      <c r="F74" s="63">
        <v>0.94259471871412182</v>
      </c>
      <c r="G74" s="63">
        <v>0.7880152462242016</v>
      </c>
      <c r="H74" s="63">
        <v>0.85988638227444214</v>
      </c>
      <c r="I74" s="35"/>
      <c r="J74" s="35"/>
      <c r="K74" s="35"/>
      <c r="L74" s="41"/>
    </row>
    <row r="75" spans="2:12">
      <c r="B75" s="6">
        <v>325</v>
      </c>
      <c r="C75" s="63">
        <v>0.86602508753119323</v>
      </c>
      <c r="D75" s="63">
        <v>0.967135665545789</v>
      </c>
      <c r="E75" s="63">
        <v>0.91426581037122101</v>
      </c>
      <c r="F75" s="63">
        <v>0.94259471871412182</v>
      </c>
      <c r="G75" s="63">
        <v>0.78782060946240062</v>
      </c>
      <c r="H75" s="63">
        <v>0.86046387596330209</v>
      </c>
      <c r="I75" s="35"/>
      <c r="J75" s="35"/>
      <c r="K75" s="35"/>
      <c r="L75" s="41"/>
    </row>
    <row r="76" spans="2:12">
      <c r="B76" s="6">
        <v>330</v>
      </c>
      <c r="C76" s="63">
        <v>0.86363636363636354</v>
      </c>
      <c r="D76" s="63">
        <v>0.96675485449009146</v>
      </c>
      <c r="E76" s="63">
        <v>0.91125502296211269</v>
      </c>
      <c r="F76" s="63">
        <v>0.94259471871412182</v>
      </c>
      <c r="G76" s="63">
        <v>0.78762597270059964</v>
      </c>
      <c r="H76" s="63">
        <v>0.86104136965216194</v>
      </c>
      <c r="I76" s="35"/>
      <c r="J76" s="35"/>
      <c r="K76" s="35"/>
      <c r="L76" s="41"/>
    </row>
    <row r="77" spans="2:12">
      <c r="B77" s="6">
        <v>335</v>
      </c>
      <c r="C77" s="63">
        <v>0.86124763974153373</v>
      </c>
      <c r="D77" s="63">
        <v>0.96264597757135084</v>
      </c>
      <c r="E77" s="63">
        <v>0.90824423555300438</v>
      </c>
      <c r="F77" s="63">
        <v>0.93632720805679559</v>
      </c>
      <c r="G77" s="63">
        <v>0.7918285418285419</v>
      </c>
      <c r="H77" s="63">
        <v>0.8647168199407006</v>
      </c>
      <c r="I77" s="35"/>
      <c r="J77" s="35"/>
      <c r="K77" s="35"/>
      <c r="L77" s="41"/>
    </row>
    <row r="78" spans="2:12">
      <c r="B78" s="6">
        <v>340</v>
      </c>
      <c r="C78" s="63">
        <v>0.85885891584670393</v>
      </c>
      <c r="D78" s="63">
        <v>0.9579746952881284</v>
      </c>
      <c r="E78" s="63">
        <v>0.90523344814389606</v>
      </c>
      <c r="F78" s="63">
        <v>0.92911419864887845</v>
      </c>
      <c r="G78" s="63">
        <v>0.79669446087356544</v>
      </c>
      <c r="H78" s="63">
        <v>0.86860955517671934</v>
      </c>
      <c r="I78" s="35"/>
      <c r="J78" s="35"/>
      <c r="K78" s="35"/>
      <c r="L78" s="41"/>
    </row>
    <row r="79" spans="2:12">
      <c r="B79" s="64"/>
      <c r="C79" s="35"/>
      <c r="D79" s="35"/>
      <c r="E79" s="35"/>
      <c r="F79" s="35"/>
      <c r="G79" s="35"/>
      <c r="H79" s="35"/>
      <c r="I79" s="35"/>
      <c r="J79" s="35"/>
      <c r="K79" s="35"/>
      <c r="L79" s="41"/>
    </row>
    <row r="80" spans="2:12" ht="13.5" thickBot="1">
      <c r="B80" s="68"/>
      <c r="C80" s="29"/>
      <c r="D80" s="29"/>
      <c r="E80" s="29"/>
      <c r="F80" s="29"/>
      <c r="G80" s="29"/>
      <c r="H80" s="29"/>
      <c r="I80" s="29"/>
      <c r="J80" s="29"/>
      <c r="K80" s="29"/>
      <c r="L80" s="42"/>
    </row>
    <row r="81" spans="2:12" ht="13.5" thickBot="1"/>
    <row r="82" spans="2:12" ht="27" thickBot="1">
      <c r="B82" s="263" t="s">
        <v>289</v>
      </c>
      <c r="C82" s="264"/>
      <c r="D82" s="264"/>
      <c r="E82" s="264"/>
      <c r="F82" s="264"/>
      <c r="G82" s="264"/>
      <c r="H82" s="264"/>
      <c r="I82" s="264"/>
      <c r="J82" s="264"/>
      <c r="K82" s="264"/>
      <c r="L82" s="265"/>
    </row>
    <row r="83" spans="2:12">
      <c r="B83" s="64"/>
      <c r="C83" s="35"/>
      <c r="D83" s="35"/>
      <c r="E83" s="35"/>
      <c r="F83" s="35"/>
      <c r="G83" s="35"/>
      <c r="H83" s="35"/>
      <c r="I83" s="35"/>
      <c r="J83" s="35"/>
      <c r="K83" s="35"/>
      <c r="L83" s="41"/>
    </row>
    <row r="84" spans="2:12">
      <c r="B84" s="69" t="s">
        <v>422</v>
      </c>
      <c r="C84" s="35"/>
      <c r="D84" s="35"/>
      <c r="E84" s="35"/>
      <c r="F84" s="70" t="s">
        <v>423</v>
      </c>
      <c r="G84" s="35"/>
      <c r="H84" s="35"/>
      <c r="I84" s="35"/>
      <c r="J84" s="35"/>
      <c r="K84" s="35"/>
      <c r="L84" s="41"/>
    </row>
    <row r="85" spans="2:12">
      <c r="B85" s="43" t="s">
        <v>281</v>
      </c>
      <c r="C85" s="62" t="s">
        <v>282</v>
      </c>
      <c r="D85" s="35"/>
      <c r="E85" s="35"/>
      <c r="F85" s="43" t="s">
        <v>281</v>
      </c>
      <c r="G85" s="62" t="s">
        <v>282</v>
      </c>
      <c r="H85" s="35"/>
      <c r="I85" s="35"/>
      <c r="J85" s="35"/>
      <c r="K85" s="35"/>
      <c r="L85" s="41"/>
    </row>
    <row r="86" spans="2:12">
      <c r="B86" s="6">
        <v>90</v>
      </c>
      <c r="C86" s="7">
        <v>0.745</v>
      </c>
      <c r="D86" s="35"/>
      <c r="E86" s="35"/>
      <c r="F86" s="7">
        <v>136</v>
      </c>
      <c r="G86" s="7">
        <v>0.9</v>
      </c>
      <c r="H86" s="35"/>
      <c r="I86" s="35"/>
      <c r="J86" s="35"/>
      <c r="K86" s="35"/>
      <c r="L86" s="41"/>
    </row>
    <row r="87" spans="2:12">
      <c r="B87" s="6">
        <v>101</v>
      </c>
      <c r="C87" s="7">
        <v>0.752</v>
      </c>
      <c r="D87" s="35"/>
      <c r="E87" s="35"/>
      <c r="F87" s="7">
        <v>200</v>
      </c>
      <c r="G87" s="7">
        <v>0.92</v>
      </c>
      <c r="H87" s="35"/>
      <c r="I87" s="35"/>
      <c r="J87" s="35"/>
      <c r="K87" s="35"/>
      <c r="L87" s="41"/>
    </row>
    <row r="88" spans="2:12">
      <c r="B88" s="6">
        <v>123</v>
      </c>
      <c r="C88" s="7">
        <v>0.77700000000000002</v>
      </c>
      <c r="D88" s="35"/>
      <c r="E88" s="35"/>
      <c r="F88" s="7">
        <v>254</v>
      </c>
      <c r="G88" s="7">
        <v>0.95</v>
      </c>
      <c r="H88" s="35"/>
      <c r="I88" s="35"/>
      <c r="J88" s="35"/>
      <c r="K88" s="35"/>
      <c r="L88" s="41"/>
    </row>
    <row r="89" spans="2:12">
      <c r="B89" s="6">
        <v>128</v>
      </c>
      <c r="C89" s="7">
        <v>0.78900000000000003</v>
      </c>
      <c r="D89" s="35"/>
      <c r="E89" s="35"/>
      <c r="F89" s="35"/>
      <c r="G89" s="35"/>
      <c r="H89" s="35"/>
      <c r="I89" s="35"/>
      <c r="J89" s="35"/>
      <c r="K89" s="35"/>
      <c r="L89" s="41"/>
    </row>
    <row r="90" spans="2:12">
      <c r="B90" s="6">
        <v>148</v>
      </c>
      <c r="C90" s="7">
        <v>0.81899999999999995</v>
      </c>
      <c r="D90" s="35"/>
      <c r="E90" s="35"/>
      <c r="F90" s="70" t="s">
        <v>426</v>
      </c>
      <c r="G90" s="35"/>
      <c r="H90" s="35"/>
      <c r="I90" s="35"/>
      <c r="J90" s="35"/>
      <c r="K90" s="35"/>
      <c r="L90" s="41"/>
    </row>
    <row r="91" spans="2:12">
      <c r="B91" s="6">
        <v>155</v>
      </c>
      <c r="C91" s="7">
        <v>0.83</v>
      </c>
      <c r="D91" s="35"/>
      <c r="E91" s="35"/>
      <c r="F91" s="43" t="s">
        <v>281</v>
      </c>
      <c r="G91" s="62" t="s">
        <v>282</v>
      </c>
      <c r="H91" s="35"/>
      <c r="I91" s="35"/>
      <c r="J91" s="35"/>
      <c r="K91" s="35"/>
      <c r="L91" s="41"/>
    </row>
    <row r="92" spans="2:12">
      <c r="B92" s="6">
        <v>201</v>
      </c>
      <c r="C92" s="7">
        <v>0.84899999999999998</v>
      </c>
      <c r="D92" s="35"/>
      <c r="E92" s="35"/>
      <c r="F92" s="7">
        <v>136</v>
      </c>
      <c r="G92" s="7">
        <v>0.95</v>
      </c>
      <c r="H92" s="35"/>
      <c r="I92" s="35"/>
      <c r="J92" s="35"/>
      <c r="K92" s="35"/>
      <c r="L92" s="41"/>
    </row>
    <row r="93" spans="2:12">
      <c r="B93" s="6">
        <v>288</v>
      </c>
      <c r="C93" s="7">
        <v>0.89500000000000002</v>
      </c>
      <c r="D93" s="35"/>
      <c r="E93" s="35"/>
      <c r="F93" s="7">
        <v>200</v>
      </c>
      <c r="G93" s="7">
        <v>0.97</v>
      </c>
      <c r="H93" s="35"/>
      <c r="I93" s="35"/>
      <c r="J93" s="35"/>
      <c r="K93" s="35"/>
      <c r="L93" s="41"/>
    </row>
    <row r="94" spans="2:12">
      <c r="B94" s="6">
        <v>299</v>
      </c>
      <c r="C94" s="7">
        <v>0.89700000000000002</v>
      </c>
      <c r="D94" s="35"/>
      <c r="E94" s="35"/>
      <c r="F94" s="7">
        <v>254</v>
      </c>
      <c r="G94" s="7">
        <v>0.97</v>
      </c>
      <c r="H94" s="35"/>
      <c r="I94" s="35"/>
      <c r="J94" s="35"/>
      <c r="K94" s="35"/>
      <c r="L94" s="41"/>
    </row>
    <row r="95" spans="2:12">
      <c r="B95" s="64"/>
      <c r="C95" s="35"/>
      <c r="D95" s="35"/>
      <c r="E95" s="35"/>
      <c r="F95" s="35"/>
      <c r="G95" s="35"/>
      <c r="H95" s="35"/>
      <c r="I95" s="35"/>
      <c r="J95" s="35"/>
      <c r="K95" s="35"/>
      <c r="L95" s="41"/>
    </row>
    <row r="96" spans="2:12">
      <c r="B96" s="64"/>
      <c r="C96" s="35"/>
      <c r="D96" s="35"/>
      <c r="E96" s="35"/>
      <c r="F96" s="35"/>
      <c r="G96" s="35"/>
      <c r="H96" s="35"/>
      <c r="I96" s="35"/>
      <c r="J96" s="35"/>
      <c r="K96" s="35"/>
      <c r="L96" s="41"/>
    </row>
    <row r="97" spans="2:12">
      <c r="B97" s="69" t="s">
        <v>424</v>
      </c>
      <c r="C97" s="35"/>
      <c r="D97" s="35"/>
      <c r="E97" s="35"/>
      <c r="F97" s="70" t="s">
        <v>425</v>
      </c>
      <c r="G97" s="35"/>
      <c r="H97" s="35"/>
      <c r="I97" s="35"/>
      <c r="J97" s="35"/>
      <c r="K97" s="35"/>
      <c r="L97" s="41"/>
    </row>
    <row r="98" spans="2:12">
      <c r="B98" s="43" t="s">
        <v>281</v>
      </c>
      <c r="C98" s="62" t="s">
        <v>282</v>
      </c>
      <c r="D98" s="35"/>
      <c r="E98" s="35"/>
      <c r="F98" s="43" t="s">
        <v>281</v>
      </c>
      <c r="G98" s="62" t="s">
        <v>282</v>
      </c>
      <c r="H98" s="35"/>
      <c r="I98" s="35"/>
      <c r="J98" s="35"/>
      <c r="K98" s="35"/>
      <c r="L98" s="41"/>
    </row>
    <row r="99" spans="2:12">
      <c r="B99" s="6">
        <v>130</v>
      </c>
      <c r="C99" s="7">
        <v>0.84</v>
      </c>
      <c r="D99" s="35"/>
      <c r="E99" s="35"/>
      <c r="F99" s="7">
        <v>136</v>
      </c>
      <c r="G99" s="7">
        <v>0.83</v>
      </c>
      <c r="H99" s="35"/>
      <c r="I99" s="35"/>
      <c r="J99" s="35"/>
      <c r="K99" s="35"/>
      <c r="L99" s="41"/>
    </row>
    <row r="100" spans="2:12">
      <c r="B100" s="6">
        <v>150</v>
      </c>
      <c r="C100" s="7">
        <v>0.85499999999999998</v>
      </c>
      <c r="D100" s="35"/>
      <c r="E100" s="35"/>
      <c r="F100" s="7">
        <v>158</v>
      </c>
      <c r="G100" s="7">
        <v>0.85</v>
      </c>
      <c r="H100" s="35"/>
      <c r="I100" s="35"/>
      <c r="J100" s="35"/>
      <c r="K100" s="35"/>
      <c r="L100" s="41"/>
    </row>
    <row r="101" spans="2:12">
      <c r="B101" s="6">
        <v>180</v>
      </c>
      <c r="C101" s="7">
        <v>0.875</v>
      </c>
      <c r="D101" s="35"/>
      <c r="E101" s="35"/>
      <c r="F101" s="7">
        <v>170</v>
      </c>
      <c r="G101" s="7">
        <v>0.85</v>
      </c>
      <c r="H101" s="35"/>
      <c r="I101" s="35"/>
      <c r="J101" s="35"/>
      <c r="K101" s="35"/>
      <c r="L101" s="41"/>
    </row>
    <row r="102" spans="2:12">
      <c r="B102" s="6">
        <v>200</v>
      </c>
      <c r="C102" s="7">
        <v>0.88500000000000001</v>
      </c>
      <c r="D102" s="35"/>
      <c r="E102" s="35"/>
      <c r="F102" s="7">
        <v>220</v>
      </c>
      <c r="G102" s="7">
        <v>0.87</v>
      </c>
      <c r="H102" s="35"/>
      <c r="I102" s="35"/>
      <c r="J102" s="35"/>
      <c r="K102" s="35"/>
      <c r="L102" s="41"/>
    </row>
    <row r="103" spans="2:12">
      <c r="B103" s="6">
        <v>220</v>
      </c>
      <c r="C103" s="7">
        <v>0.89</v>
      </c>
      <c r="D103" s="35"/>
      <c r="E103" s="35"/>
      <c r="F103" s="7">
        <v>238</v>
      </c>
      <c r="G103" s="7">
        <v>0.9</v>
      </c>
      <c r="H103" s="35"/>
      <c r="I103" s="35"/>
      <c r="J103" s="35"/>
      <c r="K103" s="35"/>
      <c r="L103" s="41"/>
    </row>
    <row r="104" spans="2:12">
      <c r="B104" s="6">
        <v>280</v>
      </c>
      <c r="C104" s="7">
        <v>0.90500000000000003</v>
      </c>
      <c r="D104" s="35"/>
      <c r="E104" s="35"/>
      <c r="F104" s="7">
        <v>274</v>
      </c>
      <c r="G104" s="7">
        <v>0.92</v>
      </c>
      <c r="H104" s="35"/>
      <c r="I104" s="35"/>
      <c r="J104" s="35"/>
      <c r="K104" s="35"/>
      <c r="L104" s="41"/>
    </row>
    <row r="105" spans="2:12">
      <c r="B105" s="6">
        <v>297</v>
      </c>
      <c r="C105" s="7">
        <v>0.91</v>
      </c>
      <c r="D105" s="35"/>
      <c r="E105" s="35"/>
      <c r="F105" s="7">
        <v>295</v>
      </c>
      <c r="G105" s="7">
        <v>0.91500000000000004</v>
      </c>
      <c r="H105" s="35"/>
      <c r="I105" s="35"/>
      <c r="J105" s="35"/>
      <c r="K105" s="35"/>
      <c r="L105" s="41"/>
    </row>
    <row r="106" spans="2:12">
      <c r="B106" s="64"/>
      <c r="C106" s="35"/>
      <c r="D106" s="35"/>
      <c r="E106" s="35"/>
      <c r="F106" s="35"/>
      <c r="G106" s="35"/>
      <c r="H106" s="35"/>
      <c r="I106" s="35"/>
      <c r="J106" s="35"/>
      <c r="K106" s="35"/>
      <c r="L106" s="41"/>
    </row>
    <row r="107" spans="2:12" ht="13.5" thickBot="1">
      <c r="B107" s="68"/>
      <c r="C107" s="29"/>
      <c r="D107" s="29"/>
      <c r="E107" s="29"/>
      <c r="F107" s="29"/>
      <c r="G107" s="29"/>
      <c r="H107" s="29"/>
      <c r="I107" s="29"/>
      <c r="J107" s="29"/>
      <c r="K107" s="29"/>
      <c r="L107" s="42"/>
    </row>
    <row r="108" spans="2:12" ht="13.5" thickBot="1"/>
    <row r="109" spans="2:12" ht="27" thickBot="1">
      <c r="B109" s="263" t="s">
        <v>290</v>
      </c>
      <c r="C109" s="264"/>
      <c r="D109" s="264"/>
      <c r="E109" s="264"/>
      <c r="F109" s="265"/>
    </row>
    <row r="110" spans="2:12" ht="12.75" customHeight="1">
      <c r="B110" s="71"/>
      <c r="C110" s="35"/>
      <c r="D110" s="35"/>
      <c r="E110" s="35"/>
      <c r="F110" s="41"/>
    </row>
    <row r="111" spans="2:12">
      <c r="B111" s="69"/>
      <c r="C111" s="269" t="s">
        <v>427</v>
      </c>
      <c r="D111" s="269"/>
      <c r="E111" s="35"/>
      <c r="F111" s="41"/>
    </row>
    <row r="112" spans="2:12">
      <c r="B112" s="43" t="s">
        <v>281</v>
      </c>
      <c r="C112" s="62" t="s">
        <v>291</v>
      </c>
      <c r="D112" s="62" t="s">
        <v>292</v>
      </c>
      <c r="E112" s="35"/>
      <c r="F112" s="41"/>
    </row>
    <row r="113" spans="2:6">
      <c r="B113" s="6">
        <v>140</v>
      </c>
      <c r="C113" s="7">
        <v>7.1000000000000004E-3</v>
      </c>
      <c r="D113" s="7">
        <v>8.2444588691874439E-3</v>
      </c>
      <c r="E113" s="35"/>
      <c r="F113" s="41"/>
    </row>
    <row r="114" spans="2:6">
      <c r="B114" s="6">
        <v>150</v>
      </c>
      <c r="C114" s="7">
        <v>7.7000000000000002E-3</v>
      </c>
      <c r="D114" s="7">
        <v>9.0145927122373855E-3</v>
      </c>
      <c r="E114" s="35"/>
      <c r="F114" s="41"/>
    </row>
    <row r="115" spans="2:6">
      <c r="B115" s="6">
        <v>160</v>
      </c>
      <c r="C115" s="7">
        <v>8.3000000000000001E-3</v>
      </c>
      <c r="D115" s="7">
        <v>9.7999999999999997E-3</v>
      </c>
      <c r="E115" s="35"/>
      <c r="F115" s="41"/>
    </row>
    <row r="116" spans="2:6">
      <c r="B116" s="6">
        <v>170</v>
      </c>
      <c r="C116" s="7">
        <v>8.8999999999999999E-3</v>
      </c>
      <c r="D116" s="7">
        <v>1.06E-2</v>
      </c>
      <c r="E116" s="35"/>
      <c r="F116" s="41"/>
    </row>
    <row r="117" spans="2:6">
      <c r="B117" s="6">
        <v>180</v>
      </c>
      <c r="C117" s="7">
        <v>9.4999999999999998E-3</v>
      </c>
      <c r="D117" s="7">
        <v>1.14E-2</v>
      </c>
      <c r="E117" s="35"/>
      <c r="F117" s="41"/>
    </row>
    <row r="118" spans="2:6">
      <c r="B118" s="6">
        <v>190</v>
      </c>
      <c r="C118" s="7">
        <v>1.0200000000000001E-2</v>
      </c>
      <c r="D118" s="7">
        <v>1.2200000000000001E-2</v>
      </c>
      <c r="E118" s="35"/>
      <c r="F118" s="41"/>
    </row>
    <row r="119" spans="2:6">
      <c r="B119" s="6">
        <v>200</v>
      </c>
      <c r="C119" s="7">
        <v>1.0800000000000001E-2</v>
      </c>
      <c r="D119" s="7">
        <v>1.2999999999999999E-2</v>
      </c>
      <c r="E119" s="35"/>
      <c r="F119" s="41"/>
    </row>
    <row r="120" spans="2:6">
      <c r="B120" s="6">
        <v>210</v>
      </c>
      <c r="C120" s="7">
        <v>1.14E-2</v>
      </c>
      <c r="D120" s="7">
        <v>1.3899999999999999E-2</v>
      </c>
      <c r="E120" s="35"/>
      <c r="F120" s="41"/>
    </row>
    <row r="121" spans="2:6">
      <c r="B121" s="6">
        <v>220</v>
      </c>
      <c r="C121" s="7">
        <v>1.2E-2</v>
      </c>
      <c r="D121" s="7">
        <v>1.47E-2</v>
      </c>
      <c r="E121" s="35"/>
      <c r="F121" s="41"/>
    </row>
    <row r="122" spans="2:6">
      <c r="B122" s="6">
        <v>230</v>
      </c>
      <c r="C122" s="7">
        <v>1.26E-2</v>
      </c>
      <c r="D122" s="7">
        <v>1.55E-2</v>
      </c>
      <c r="E122" s="35"/>
      <c r="F122" s="41"/>
    </row>
    <row r="123" spans="2:6">
      <c r="B123" s="6">
        <v>240</v>
      </c>
      <c r="C123" s="7">
        <v>1.32E-2</v>
      </c>
      <c r="D123" s="7">
        <v>1.6400000000000001E-2</v>
      </c>
      <c r="E123" s="35"/>
      <c r="F123" s="41"/>
    </row>
    <row r="124" spans="2:6">
      <c r="B124" s="6">
        <v>250</v>
      </c>
      <c r="C124" s="7">
        <v>1.38E-2</v>
      </c>
      <c r="D124" s="7">
        <v>1.72E-2</v>
      </c>
      <c r="E124" s="35"/>
      <c r="F124" s="41"/>
    </row>
    <row r="125" spans="2:6">
      <c r="B125" s="6">
        <v>260</v>
      </c>
      <c r="C125" s="7">
        <v>1.44E-2</v>
      </c>
      <c r="D125" s="7">
        <v>1.8100000000000002E-2</v>
      </c>
      <c r="E125" s="35"/>
      <c r="F125" s="41"/>
    </row>
    <row r="126" spans="2:6">
      <c r="B126" s="6">
        <v>270</v>
      </c>
      <c r="C126" s="7">
        <v>1.4999999999999999E-2</v>
      </c>
      <c r="D126" s="7">
        <v>1.9E-2</v>
      </c>
      <c r="E126" s="35"/>
      <c r="F126" s="41"/>
    </row>
    <row r="127" spans="2:6">
      <c r="B127" s="6">
        <v>280</v>
      </c>
      <c r="C127" s="7">
        <v>1.5599999999999999E-2</v>
      </c>
      <c r="D127" s="7">
        <v>1.9900000000000001E-2</v>
      </c>
      <c r="E127" s="35"/>
      <c r="F127" s="41"/>
    </row>
    <row r="128" spans="2:6">
      <c r="B128" s="6">
        <v>290</v>
      </c>
      <c r="C128" s="7">
        <v>1.6199999999999999E-2</v>
      </c>
      <c r="D128" s="7">
        <v>2.0799999999999999E-2</v>
      </c>
      <c r="E128" s="35"/>
      <c r="F128" s="41"/>
    </row>
    <row r="129" spans="2:12">
      <c r="B129" s="64"/>
      <c r="C129" s="35"/>
      <c r="D129" s="35"/>
      <c r="E129" s="35"/>
      <c r="F129" s="41"/>
    </row>
    <row r="130" spans="2:12" ht="13.5" thickBot="1">
      <c r="B130" s="68"/>
      <c r="C130" s="29"/>
      <c r="D130" s="29"/>
      <c r="E130" s="29"/>
      <c r="F130" s="42"/>
    </row>
    <row r="131" spans="2:12" ht="13.5" thickBot="1"/>
    <row r="132" spans="2:12" ht="27" thickBot="1">
      <c r="B132" s="263" t="s">
        <v>293</v>
      </c>
      <c r="C132" s="264"/>
      <c r="D132" s="264"/>
      <c r="E132" s="264"/>
      <c r="F132" s="264"/>
      <c r="G132" s="264"/>
      <c r="H132" s="264"/>
      <c r="I132" s="264"/>
      <c r="J132" s="264"/>
      <c r="K132" s="264"/>
      <c r="L132" s="265"/>
    </row>
    <row r="133" spans="2:12">
      <c r="B133" s="64"/>
      <c r="C133" s="35"/>
      <c r="D133" s="35"/>
      <c r="E133" s="35"/>
      <c r="F133" s="35"/>
      <c r="G133" s="35"/>
      <c r="H133" s="35"/>
      <c r="I133" s="35"/>
      <c r="J133" s="35"/>
      <c r="K133" s="35"/>
      <c r="L133" s="41"/>
    </row>
    <row r="134" spans="2:12">
      <c r="B134" s="69" t="s">
        <v>428</v>
      </c>
      <c r="C134" s="35"/>
      <c r="D134" s="35"/>
      <c r="E134" s="70" t="s">
        <v>429</v>
      </c>
      <c r="F134" s="35"/>
      <c r="G134" s="35"/>
      <c r="H134" s="70" t="s">
        <v>430</v>
      </c>
      <c r="I134" s="35"/>
      <c r="J134" s="35"/>
      <c r="K134" s="35"/>
      <c r="L134" s="41"/>
    </row>
    <row r="135" spans="2:12">
      <c r="B135" s="43" t="s">
        <v>281</v>
      </c>
      <c r="C135" s="62" t="s">
        <v>282</v>
      </c>
      <c r="D135" s="35"/>
      <c r="E135" s="43" t="s">
        <v>281</v>
      </c>
      <c r="F135" s="62" t="s">
        <v>282</v>
      </c>
      <c r="G135" s="35"/>
      <c r="H135" s="43" t="s">
        <v>281</v>
      </c>
      <c r="I135" s="62" t="s">
        <v>282</v>
      </c>
      <c r="J135" s="35"/>
      <c r="K135" s="35"/>
      <c r="L135" s="41"/>
    </row>
    <row r="136" spans="2:12">
      <c r="B136" s="6">
        <v>61</v>
      </c>
      <c r="C136" s="7">
        <v>1.09E-2</v>
      </c>
      <c r="D136" s="35"/>
      <c r="E136" s="7">
        <v>63</v>
      </c>
      <c r="F136" s="7">
        <v>1.14E-2</v>
      </c>
      <c r="G136" s="35"/>
      <c r="H136" s="7">
        <v>63</v>
      </c>
      <c r="I136" s="7">
        <v>8.3000000000000001E-3</v>
      </c>
      <c r="J136" s="35"/>
      <c r="K136" s="35"/>
      <c r="L136" s="41"/>
    </row>
    <row r="137" spans="2:12">
      <c r="B137" s="6">
        <v>88</v>
      </c>
      <c r="C137" s="7">
        <v>1.1900000000000001E-2</v>
      </c>
      <c r="D137" s="35"/>
      <c r="E137" s="7">
        <v>91</v>
      </c>
      <c r="F137" s="7">
        <v>1.29E-2</v>
      </c>
      <c r="G137" s="35"/>
      <c r="H137" s="7">
        <v>90</v>
      </c>
      <c r="I137" s="7">
        <v>1.0200000000000001E-2</v>
      </c>
      <c r="J137" s="35"/>
      <c r="K137" s="35"/>
      <c r="L137" s="41"/>
    </row>
    <row r="138" spans="2:12">
      <c r="B138" s="6">
        <v>129</v>
      </c>
      <c r="C138" s="7">
        <v>1.3100000000000001E-2</v>
      </c>
      <c r="D138" s="35"/>
      <c r="E138" s="7">
        <v>129</v>
      </c>
      <c r="F138" s="7">
        <v>1.52E-2</v>
      </c>
      <c r="G138" s="35"/>
      <c r="H138" s="7">
        <v>132</v>
      </c>
      <c r="I138" s="7">
        <v>1.2E-2</v>
      </c>
      <c r="J138" s="35"/>
      <c r="K138" s="35"/>
      <c r="L138" s="41"/>
    </row>
    <row r="139" spans="2:12">
      <c r="B139" s="6">
        <v>162</v>
      </c>
      <c r="C139" s="7">
        <v>1.54E-2</v>
      </c>
      <c r="D139" s="35"/>
      <c r="E139" s="7">
        <v>149</v>
      </c>
      <c r="F139" s="7">
        <v>1.5599999999999999E-2</v>
      </c>
      <c r="G139" s="35"/>
      <c r="H139" s="7">
        <v>166</v>
      </c>
      <c r="I139" s="7">
        <v>1.32E-2</v>
      </c>
      <c r="J139" s="35"/>
      <c r="K139" s="35"/>
      <c r="L139" s="41"/>
    </row>
    <row r="140" spans="2:12">
      <c r="B140" s="6">
        <v>253</v>
      </c>
      <c r="C140" s="7">
        <v>2.0299999999999999E-2</v>
      </c>
      <c r="D140" s="35"/>
      <c r="E140" s="7">
        <v>253</v>
      </c>
      <c r="F140" s="7">
        <v>2.12E-2</v>
      </c>
      <c r="G140" s="35"/>
      <c r="H140" s="7">
        <v>259</v>
      </c>
      <c r="I140" s="7">
        <v>1.7500000000000002E-2</v>
      </c>
      <c r="J140" s="35"/>
      <c r="K140" s="35"/>
      <c r="L140" s="41"/>
    </row>
    <row r="141" spans="2:12">
      <c r="B141" s="6">
        <v>307</v>
      </c>
      <c r="C141" s="7">
        <v>2.1999999999999999E-2</v>
      </c>
      <c r="D141" s="35"/>
      <c r="E141" s="7">
        <v>302</v>
      </c>
      <c r="F141" s="7">
        <v>2.4400000000000002E-2</v>
      </c>
      <c r="G141" s="35"/>
      <c r="H141" s="7">
        <v>312</v>
      </c>
      <c r="I141" s="7">
        <v>2.1000000000000001E-2</v>
      </c>
      <c r="J141" s="35"/>
      <c r="K141" s="35"/>
      <c r="L141" s="41"/>
    </row>
    <row r="142" spans="2:12">
      <c r="B142" s="64"/>
      <c r="C142" s="35"/>
      <c r="D142" s="35"/>
      <c r="E142" s="35"/>
      <c r="F142" s="35"/>
      <c r="G142" s="35"/>
      <c r="H142" s="35"/>
      <c r="I142" s="35"/>
      <c r="J142" s="35"/>
      <c r="K142" s="35"/>
      <c r="L142" s="41"/>
    </row>
    <row r="143" spans="2:12">
      <c r="B143" s="64"/>
      <c r="C143" s="35"/>
      <c r="D143" s="35"/>
      <c r="E143" s="35"/>
      <c r="F143" s="35"/>
      <c r="G143" s="35"/>
      <c r="H143" s="35"/>
      <c r="I143" s="35"/>
      <c r="J143" s="35"/>
      <c r="K143" s="35"/>
      <c r="L143" s="41"/>
    </row>
    <row r="144" spans="2:12">
      <c r="B144" s="69" t="s">
        <v>431</v>
      </c>
      <c r="C144" s="35"/>
      <c r="D144" s="35"/>
      <c r="E144" s="70" t="s">
        <v>432</v>
      </c>
      <c r="F144" s="35"/>
      <c r="G144" s="35"/>
      <c r="H144" s="70" t="s">
        <v>433</v>
      </c>
      <c r="I144" s="35"/>
      <c r="J144" s="35"/>
      <c r="K144" s="35"/>
      <c r="L144" s="41"/>
    </row>
    <row r="145" spans="2:12">
      <c r="B145" s="43" t="s">
        <v>281</v>
      </c>
      <c r="C145" s="62" t="s">
        <v>282</v>
      </c>
      <c r="D145" s="35"/>
      <c r="E145" s="43" t="s">
        <v>281</v>
      </c>
      <c r="F145" s="62" t="s">
        <v>282</v>
      </c>
      <c r="G145" s="35"/>
      <c r="H145" s="43" t="s">
        <v>281</v>
      </c>
      <c r="I145" s="62" t="s">
        <v>282</v>
      </c>
      <c r="J145" s="35"/>
      <c r="K145" s="35"/>
      <c r="L145" s="41"/>
    </row>
    <row r="146" spans="2:12">
      <c r="B146" s="6">
        <v>196</v>
      </c>
      <c r="C146" s="7">
        <v>1.8800000000000001E-2</v>
      </c>
      <c r="D146" s="35"/>
      <c r="E146" s="7">
        <v>59</v>
      </c>
      <c r="F146" s="7">
        <v>9.7000000000000003E-3</v>
      </c>
      <c r="G146" s="35"/>
      <c r="H146" s="7">
        <v>59</v>
      </c>
      <c r="I146" s="7">
        <v>1.0800000000000001E-2</v>
      </c>
      <c r="J146" s="35"/>
      <c r="K146" s="35"/>
      <c r="L146" s="41"/>
    </row>
    <row r="147" spans="2:12">
      <c r="B147" s="6">
        <v>255</v>
      </c>
      <c r="C147" s="7">
        <v>2.0400000000000001E-2</v>
      </c>
      <c r="D147" s="35"/>
      <c r="E147" s="7">
        <v>96</v>
      </c>
      <c r="F147" s="7">
        <v>1.21E-2</v>
      </c>
      <c r="G147" s="35"/>
      <c r="H147" s="7">
        <v>96</v>
      </c>
      <c r="I147" s="7">
        <v>1.18E-2</v>
      </c>
      <c r="J147" s="35"/>
      <c r="K147" s="35"/>
      <c r="L147" s="41"/>
    </row>
    <row r="148" spans="2:12">
      <c r="B148" s="6">
        <v>314</v>
      </c>
      <c r="C148" s="7">
        <v>2.12E-2</v>
      </c>
      <c r="D148" s="35"/>
      <c r="E148" s="7">
        <v>161</v>
      </c>
      <c r="F148" s="7">
        <v>1.5800000000000002E-2</v>
      </c>
      <c r="G148" s="35"/>
      <c r="H148" s="7">
        <v>163</v>
      </c>
      <c r="I148" s="7">
        <v>1.5299999999999999E-2</v>
      </c>
      <c r="J148" s="35"/>
      <c r="K148" s="35"/>
      <c r="L148" s="41"/>
    </row>
    <row r="149" spans="2:12">
      <c r="B149" s="64"/>
      <c r="C149" s="35"/>
      <c r="D149" s="35"/>
      <c r="E149" s="35"/>
      <c r="F149" s="35"/>
      <c r="G149" s="35"/>
      <c r="H149" s="35"/>
      <c r="I149" s="35"/>
      <c r="J149" s="35"/>
      <c r="K149" s="35"/>
      <c r="L149" s="41"/>
    </row>
    <row r="150" spans="2:12">
      <c r="B150" s="64"/>
      <c r="C150" s="35"/>
      <c r="D150" s="35"/>
      <c r="E150" s="35"/>
      <c r="F150" s="35"/>
      <c r="G150" s="35"/>
      <c r="H150" s="35"/>
      <c r="I150" s="35"/>
      <c r="J150" s="35"/>
      <c r="K150" s="35"/>
      <c r="L150" s="41"/>
    </row>
    <row r="151" spans="2:12">
      <c r="B151" s="69" t="s">
        <v>434</v>
      </c>
      <c r="C151" s="35"/>
      <c r="D151" s="35"/>
      <c r="E151" s="70" t="s">
        <v>435</v>
      </c>
      <c r="F151" s="35"/>
      <c r="G151" s="35"/>
      <c r="H151" s="70" t="s">
        <v>436</v>
      </c>
      <c r="I151" s="35"/>
      <c r="J151" s="35"/>
      <c r="K151" s="35"/>
      <c r="L151" s="41"/>
    </row>
    <row r="152" spans="2:12">
      <c r="B152" s="43" t="s">
        <v>281</v>
      </c>
      <c r="C152" s="62" t="s">
        <v>282</v>
      </c>
      <c r="D152" s="35"/>
      <c r="E152" s="43" t="s">
        <v>281</v>
      </c>
      <c r="F152" s="62" t="s">
        <v>282</v>
      </c>
      <c r="G152" s="35"/>
      <c r="H152" s="43" t="s">
        <v>281</v>
      </c>
      <c r="I152" s="62" t="s">
        <v>282</v>
      </c>
      <c r="J152" s="35"/>
      <c r="K152" s="35"/>
      <c r="L152" s="41"/>
    </row>
    <row r="153" spans="2:12">
      <c r="B153" s="6">
        <v>201</v>
      </c>
      <c r="C153" s="7">
        <v>1.35E-2</v>
      </c>
      <c r="D153" s="35"/>
      <c r="E153" s="7">
        <v>59</v>
      </c>
      <c r="F153" s="7">
        <v>8.5000000000000006E-3</v>
      </c>
      <c r="G153" s="35"/>
      <c r="H153" s="7">
        <v>95</v>
      </c>
      <c r="I153" s="7">
        <v>3.1E-2</v>
      </c>
      <c r="J153" s="35"/>
      <c r="K153" s="35"/>
      <c r="L153" s="41"/>
    </row>
    <row r="154" spans="2:12">
      <c r="B154" s="6">
        <v>255</v>
      </c>
      <c r="C154" s="7">
        <v>1.5299999999999999E-2</v>
      </c>
      <c r="D154" s="35"/>
      <c r="E154" s="7">
        <v>97</v>
      </c>
      <c r="F154" s="7">
        <v>9.5999999999999992E-3</v>
      </c>
      <c r="G154" s="35"/>
      <c r="H154" s="7">
        <v>112</v>
      </c>
      <c r="I154" s="7">
        <v>3.3000000000000002E-2</v>
      </c>
      <c r="J154" s="35"/>
      <c r="K154" s="35"/>
      <c r="L154" s="41"/>
    </row>
    <row r="155" spans="2:12">
      <c r="B155" s="6">
        <v>302</v>
      </c>
      <c r="C155" s="7">
        <v>1.6400000000000001E-2</v>
      </c>
      <c r="D155" s="35"/>
      <c r="E155" s="7">
        <v>161</v>
      </c>
      <c r="F155" s="7">
        <v>1.18E-2</v>
      </c>
      <c r="G155" s="35"/>
      <c r="H155" s="7">
        <v>126</v>
      </c>
      <c r="I155" s="7">
        <v>3.4000000000000002E-2</v>
      </c>
      <c r="J155" s="35"/>
      <c r="K155" s="35"/>
      <c r="L155" s="41"/>
    </row>
    <row r="156" spans="2:12">
      <c r="B156" s="64"/>
      <c r="C156" s="35"/>
      <c r="D156" s="35"/>
      <c r="E156" s="35"/>
      <c r="F156" s="35"/>
      <c r="G156" s="35"/>
      <c r="H156" s="7">
        <v>146</v>
      </c>
      <c r="I156" s="7">
        <v>3.5000000000000003E-2</v>
      </c>
      <c r="J156" s="35"/>
      <c r="K156" s="35"/>
      <c r="L156" s="41"/>
    </row>
    <row r="157" spans="2:12">
      <c r="B157" s="64"/>
      <c r="C157" s="35"/>
      <c r="D157" s="35"/>
      <c r="E157" s="35"/>
      <c r="F157" s="35"/>
      <c r="G157" s="35"/>
      <c r="H157" s="7">
        <v>197</v>
      </c>
      <c r="I157" s="7">
        <v>3.7999999999999999E-2</v>
      </c>
      <c r="J157" s="35"/>
      <c r="K157" s="35"/>
      <c r="L157" s="41"/>
    </row>
    <row r="158" spans="2:12">
      <c r="B158" s="69"/>
      <c r="C158" s="35"/>
      <c r="D158" s="35"/>
      <c r="E158" s="35"/>
      <c r="F158" s="35"/>
      <c r="G158" s="35"/>
      <c r="H158" s="7">
        <v>291</v>
      </c>
      <c r="I158" s="7">
        <v>4.4999999999999998E-2</v>
      </c>
      <c r="J158" s="35"/>
      <c r="K158" s="35"/>
      <c r="L158" s="41"/>
    </row>
    <row r="159" spans="2:12">
      <c r="B159" s="64"/>
      <c r="C159" s="35"/>
      <c r="D159" s="35"/>
      <c r="E159" s="35"/>
      <c r="F159" s="35"/>
      <c r="G159" s="35"/>
      <c r="H159" s="7">
        <v>300</v>
      </c>
      <c r="I159" s="7">
        <v>4.5999999999999999E-2</v>
      </c>
      <c r="J159" s="35"/>
      <c r="K159" s="35"/>
      <c r="L159" s="41"/>
    </row>
    <row r="160" spans="2:12">
      <c r="B160" s="64"/>
      <c r="C160" s="35"/>
      <c r="D160" s="35"/>
      <c r="E160" s="35"/>
      <c r="F160" s="35"/>
      <c r="G160" s="35"/>
      <c r="H160" s="35"/>
      <c r="I160" s="35"/>
      <c r="J160" s="35"/>
      <c r="K160" s="35"/>
      <c r="L160" s="41"/>
    </row>
    <row r="161" spans="2:12">
      <c r="B161" s="64"/>
      <c r="C161" s="35"/>
      <c r="D161" s="35"/>
      <c r="E161" s="35"/>
      <c r="F161" s="35"/>
      <c r="G161" s="35"/>
      <c r="H161" s="35"/>
      <c r="I161" s="35"/>
      <c r="J161" s="35"/>
      <c r="K161" s="35"/>
      <c r="L161" s="41"/>
    </row>
    <row r="162" spans="2:12">
      <c r="B162" s="69" t="s">
        <v>437</v>
      </c>
      <c r="C162" s="35"/>
      <c r="D162" s="35"/>
      <c r="E162" s="70" t="s">
        <v>438</v>
      </c>
      <c r="F162" s="35"/>
      <c r="G162" s="35"/>
      <c r="H162" s="70" t="s">
        <v>439</v>
      </c>
      <c r="I162" s="35"/>
      <c r="J162" s="35"/>
      <c r="K162" s="35"/>
      <c r="L162" s="41"/>
    </row>
    <row r="163" spans="2:12">
      <c r="B163" s="43" t="s">
        <v>281</v>
      </c>
      <c r="C163" s="62" t="s">
        <v>282</v>
      </c>
      <c r="D163" s="35"/>
      <c r="E163" s="43" t="s">
        <v>281</v>
      </c>
      <c r="F163" s="62" t="s">
        <v>282</v>
      </c>
      <c r="G163" s="35"/>
      <c r="H163" s="43" t="s">
        <v>281</v>
      </c>
      <c r="I163" s="62" t="s">
        <v>282</v>
      </c>
      <c r="J163" s="35"/>
      <c r="K163" s="35"/>
      <c r="L163" s="41"/>
    </row>
    <row r="164" spans="2:12">
      <c r="B164" s="6">
        <v>90</v>
      </c>
      <c r="C164" s="7">
        <v>0.02</v>
      </c>
      <c r="D164" s="35"/>
      <c r="E164" s="7">
        <v>91</v>
      </c>
      <c r="F164" s="7">
        <v>2.5000000000000001E-2</v>
      </c>
      <c r="G164" s="35"/>
      <c r="H164" s="7">
        <v>94</v>
      </c>
      <c r="I164" s="7">
        <v>2.4E-2</v>
      </c>
      <c r="J164" s="35"/>
      <c r="K164" s="35"/>
      <c r="L164" s="41"/>
    </row>
    <row r="165" spans="2:12">
      <c r="B165" s="6">
        <v>147</v>
      </c>
      <c r="C165" s="7">
        <v>2.5000000000000001E-2</v>
      </c>
      <c r="D165" s="35"/>
      <c r="E165" s="7">
        <v>134</v>
      </c>
      <c r="F165" s="7">
        <v>3.4000000000000002E-2</v>
      </c>
      <c r="G165" s="35"/>
      <c r="H165" s="7">
        <v>120</v>
      </c>
      <c r="I165" s="7">
        <v>2.5999999999999999E-2</v>
      </c>
      <c r="J165" s="35"/>
      <c r="K165" s="35"/>
      <c r="L165" s="41"/>
    </row>
    <row r="166" spans="2:12">
      <c r="B166" s="6">
        <v>176</v>
      </c>
      <c r="C166" s="7">
        <v>2.8000000000000001E-2</v>
      </c>
      <c r="D166" s="35"/>
      <c r="E166" s="7">
        <v>148</v>
      </c>
      <c r="F166" s="7">
        <v>3.6999999999999998E-2</v>
      </c>
      <c r="G166" s="35"/>
      <c r="H166" s="7">
        <v>137</v>
      </c>
      <c r="I166" s="7">
        <v>2.7E-2</v>
      </c>
      <c r="J166" s="35"/>
      <c r="K166" s="35"/>
      <c r="L166" s="41"/>
    </row>
    <row r="167" spans="2:12">
      <c r="B167" s="6">
        <v>190</v>
      </c>
      <c r="C167" s="7">
        <v>2.9000000000000001E-2</v>
      </c>
      <c r="D167" s="35"/>
      <c r="E167" s="7">
        <v>193</v>
      </c>
      <c r="F167" s="7">
        <v>4.2000000000000003E-2</v>
      </c>
      <c r="G167" s="35"/>
      <c r="H167" s="7">
        <v>147</v>
      </c>
      <c r="I167" s="7">
        <v>2.8000000000000001E-2</v>
      </c>
      <c r="J167" s="35"/>
      <c r="K167" s="35"/>
      <c r="L167" s="41"/>
    </row>
    <row r="168" spans="2:12">
      <c r="B168" s="6">
        <v>224</v>
      </c>
      <c r="C168" s="7">
        <v>3.1E-2</v>
      </c>
      <c r="D168" s="35"/>
      <c r="E168" s="7">
        <v>254</v>
      </c>
      <c r="F168" s="7">
        <v>4.4999999999999998E-2</v>
      </c>
      <c r="G168" s="35"/>
      <c r="H168" s="7">
        <v>196</v>
      </c>
      <c r="I168" s="7">
        <v>3.3000000000000002E-2</v>
      </c>
      <c r="J168" s="35"/>
      <c r="K168" s="35"/>
      <c r="L168" s="41"/>
    </row>
    <row r="169" spans="2:12">
      <c r="B169" s="6">
        <v>253</v>
      </c>
      <c r="C169" s="7">
        <v>3.3000000000000002E-2</v>
      </c>
      <c r="D169" s="35"/>
      <c r="E169" s="7">
        <v>302</v>
      </c>
      <c r="F169" s="7">
        <v>4.9000000000000002E-2</v>
      </c>
      <c r="G169" s="35"/>
      <c r="H169" s="7">
        <v>240</v>
      </c>
      <c r="I169" s="7">
        <v>3.5999999999999997E-2</v>
      </c>
      <c r="J169" s="35"/>
      <c r="K169" s="35"/>
      <c r="L169" s="41"/>
    </row>
    <row r="170" spans="2:12">
      <c r="B170" s="6">
        <v>301</v>
      </c>
      <c r="C170" s="7">
        <v>3.5000000000000003E-2</v>
      </c>
      <c r="D170" s="35"/>
      <c r="E170" s="35"/>
      <c r="F170" s="35"/>
      <c r="G170" s="35"/>
      <c r="H170" s="7">
        <v>301</v>
      </c>
      <c r="I170" s="7">
        <v>4.1000000000000002E-2</v>
      </c>
      <c r="J170" s="35"/>
      <c r="K170" s="35"/>
      <c r="L170" s="41"/>
    </row>
    <row r="171" spans="2:12">
      <c r="B171" s="64"/>
      <c r="C171" s="35"/>
      <c r="D171" s="35"/>
      <c r="E171" s="35"/>
      <c r="F171" s="35"/>
      <c r="G171" s="35"/>
      <c r="H171" s="35"/>
      <c r="I171" s="35"/>
      <c r="J171" s="35"/>
      <c r="K171" s="35"/>
      <c r="L171" s="41"/>
    </row>
    <row r="172" spans="2:12" ht="13.5" thickBot="1">
      <c r="B172" s="68"/>
      <c r="C172" s="29"/>
      <c r="D172" s="29"/>
      <c r="E172" s="29"/>
      <c r="F172" s="29"/>
      <c r="G172" s="29"/>
      <c r="H172" s="29"/>
      <c r="I172" s="29"/>
      <c r="J172" s="29"/>
      <c r="K172" s="29"/>
      <c r="L172" s="42"/>
    </row>
    <row r="174" spans="2:12" ht="13.5" thickBot="1"/>
    <row r="175" spans="2:12" ht="27" thickBot="1">
      <c r="B175" s="263" t="s">
        <v>294</v>
      </c>
      <c r="C175" s="264"/>
      <c r="D175" s="264"/>
      <c r="E175" s="264"/>
      <c r="F175" s="264"/>
      <c r="G175" s="264"/>
      <c r="H175" s="264"/>
      <c r="I175" s="265"/>
    </row>
    <row r="176" spans="2:12">
      <c r="B176" s="64"/>
      <c r="C176" s="35"/>
      <c r="D176" s="35"/>
      <c r="E176" s="35"/>
      <c r="F176" s="35"/>
      <c r="G176" s="35"/>
      <c r="H176" s="35"/>
      <c r="I176" s="41"/>
    </row>
    <row r="177" spans="2:9">
      <c r="B177" s="69" t="s">
        <v>440</v>
      </c>
      <c r="C177" s="35"/>
      <c r="D177" s="35"/>
      <c r="E177" s="35"/>
      <c r="F177" s="70" t="s">
        <v>441</v>
      </c>
      <c r="G177" s="35"/>
      <c r="H177" s="35"/>
      <c r="I177" s="41"/>
    </row>
    <row r="178" spans="2:9">
      <c r="B178" s="43" t="s">
        <v>281</v>
      </c>
      <c r="C178" s="62" t="s">
        <v>282</v>
      </c>
      <c r="D178" s="35"/>
      <c r="E178" s="35"/>
      <c r="F178" s="43" t="s">
        <v>281</v>
      </c>
      <c r="G178" s="62" t="s">
        <v>282</v>
      </c>
      <c r="H178" s="35"/>
      <c r="I178" s="41"/>
    </row>
    <row r="179" spans="2:9">
      <c r="B179" s="6">
        <v>80</v>
      </c>
      <c r="C179" s="7">
        <v>0.67</v>
      </c>
      <c r="D179" s="35"/>
      <c r="E179" s="35"/>
      <c r="F179" s="7">
        <v>170</v>
      </c>
      <c r="G179" s="7">
        <v>0.75</v>
      </c>
      <c r="H179" s="35"/>
      <c r="I179" s="41"/>
    </row>
    <row r="180" spans="2:9">
      <c r="B180" s="6">
        <v>115</v>
      </c>
      <c r="C180" s="7">
        <v>0.7</v>
      </c>
      <c r="D180" s="35"/>
      <c r="E180" s="35"/>
      <c r="F180" s="7">
        <v>230</v>
      </c>
      <c r="G180" s="7">
        <v>0.79</v>
      </c>
      <c r="H180" s="35"/>
      <c r="I180" s="41"/>
    </row>
    <row r="181" spans="2:9">
      <c r="B181" s="6">
        <v>140</v>
      </c>
      <c r="C181" s="7">
        <v>0.73</v>
      </c>
      <c r="D181" s="35"/>
      <c r="E181" s="35"/>
      <c r="F181" s="7">
        <v>300</v>
      </c>
      <c r="G181" s="7">
        <v>0.8</v>
      </c>
      <c r="H181" s="35"/>
      <c r="I181" s="41"/>
    </row>
    <row r="182" spans="2:9">
      <c r="B182" s="6">
        <v>170</v>
      </c>
      <c r="C182" s="7">
        <v>0.78500000000000003</v>
      </c>
      <c r="D182" s="35"/>
      <c r="E182" s="35"/>
      <c r="F182" s="35"/>
      <c r="G182" s="35"/>
      <c r="H182" s="35"/>
      <c r="I182" s="41"/>
    </row>
    <row r="183" spans="2:9">
      <c r="B183" s="6">
        <v>240</v>
      </c>
      <c r="C183" s="7">
        <v>0.83</v>
      </c>
      <c r="D183" s="35"/>
      <c r="E183" s="35"/>
      <c r="F183" s="70" t="s">
        <v>443</v>
      </c>
      <c r="G183" s="35"/>
      <c r="H183" s="35"/>
      <c r="I183" s="41"/>
    </row>
    <row r="184" spans="2:9">
      <c r="B184" s="6">
        <v>280</v>
      </c>
      <c r="C184" s="7">
        <v>0.82</v>
      </c>
      <c r="D184" s="35"/>
      <c r="E184" s="35"/>
      <c r="F184" s="43" t="s">
        <v>281</v>
      </c>
      <c r="G184" s="62" t="s">
        <v>282</v>
      </c>
      <c r="H184" s="35"/>
      <c r="I184" s="41"/>
    </row>
    <row r="185" spans="2:9">
      <c r="B185" s="64"/>
      <c r="C185" s="35"/>
      <c r="D185" s="35"/>
      <c r="E185" s="35"/>
      <c r="F185" s="7">
        <v>144</v>
      </c>
      <c r="G185" s="7">
        <v>0.74399999999999999</v>
      </c>
      <c r="H185" s="35"/>
      <c r="I185" s="41"/>
    </row>
    <row r="186" spans="2:9">
      <c r="B186" s="69" t="s">
        <v>442</v>
      </c>
      <c r="C186" s="35"/>
      <c r="D186" s="35"/>
      <c r="E186" s="35"/>
      <c r="F186" s="7">
        <v>255</v>
      </c>
      <c r="G186" s="7">
        <v>0.81100000000000005</v>
      </c>
      <c r="H186" s="35"/>
      <c r="I186" s="41"/>
    </row>
    <row r="187" spans="2:9">
      <c r="B187" s="43" t="s">
        <v>281</v>
      </c>
      <c r="C187" s="62" t="s">
        <v>282</v>
      </c>
      <c r="D187" s="35"/>
      <c r="E187" s="35"/>
      <c r="F187" s="7">
        <v>366</v>
      </c>
      <c r="G187" s="7">
        <v>0.79</v>
      </c>
      <c r="H187" s="35"/>
      <c r="I187" s="41"/>
    </row>
    <row r="188" spans="2:9">
      <c r="B188" s="6">
        <v>126</v>
      </c>
      <c r="C188" s="7">
        <v>0.72</v>
      </c>
      <c r="D188" s="35"/>
      <c r="E188" s="35"/>
      <c r="F188" s="35"/>
      <c r="G188" s="35"/>
      <c r="H188" s="35"/>
      <c r="I188" s="41"/>
    </row>
    <row r="189" spans="2:9">
      <c r="B189" s="6">
        <v>159</v>
      </c>
      <c r="C189" s="7">
        <v>0.77</v>
      </c>
      <c r="D189" s="35"/>
      <c r="E189" s="35"/>
      <c r="F189" s="35"/>
      <c r="G189" s="35"/>
      <c r="H189" s="35"/>
      <c r="I189" s="41"/>
    </row>
    <row r="190" spans="2:9">
      <c r="B190" s="6">
        <v>181</v>
      </c>
      <c r="C190" s="7">
        <v>0.79400000000000004</v>
      </c>
      <c r="D190" s="35"/>
      <c r="E190" s="35"/>
      <c r="F190" s="35"/>
      <c r="G190" s="35"/>
      <c r="H190" s="35"/>
      <c r="I190" s="41"/>
    </row>
    <row r="191" spans="2:9">
      <c r="B191" s="6">
        <v>198</v>
      </c>
      <c r="C191" s="7">
        <v>0.81</v>
      </c>
      <c r="D191" s="35"/>
      <c r="E191" s="35"/>
      <c r="F191" s="35"/>
      <c r="G191" s="35"/>
      <c r="H191" s="35"/>
      <c r="I191" s="41"/>
    </row>
    <row r="192" spans="2:9">
      <c r="B192" s="6">
        <v>212</v>
      </c>
      <c r="C192" s="7">
        <v>0.82199999999999995</v>
      </c>
      <c r="D192" s="35"/>
      <c r="E192" s="35"/>
      <c r="F192" s="35"/>
      <c r="G192" s="35"/>
      <c r="H192" s="35"/>
      <c r="I192" s="41"/>
    </row>
    <row r="193" spans="2:9">
      <c r="B193" s="6">
        <v>228</v>
      </c>
      <c r="C193" s="7">
        <v>0.82499999999999996</v>
      </c>
      <c r="D193" s="35"/>
      <c r="E193" s="35"/>
      <c r="F193" s="35"/>
      <c r="G193" s="35"/>
      <c r="H193" s="35"/>
      <c r="I193" s="41"/>
    </row>
    <row r="194" spans="2:9">
      <c r="B194" s="6">
        <v>246</v>
      </c>
      <c r="C194" s="7">
        <v>0.81699999999999995</v>
      </c>
      <c r="D194" s="35"/>
      <c r="E194" s="35"/>
      <c r="F194" s="35"/>
      <c r="G194" s="35"/>
      <c r="H194" s="35"/>
      <c r="I194" s="41"/>
    </row>
    <row r="195" spans="2:9">
      <c r="B195" s="6">
        <v>263</v>
      </c>
      <c r="C195" s="7">
        <v>0.79800000000000004</v>
      </c>
      <c r="D195" s="35"/>
      <c r="E195" s="35"/>
      <c r="F195" s="35"/>
      <c r="G195" s="35"/>
      <c r="H195" s="35"/>
      <c r="I195" s="41"/>
    </row>
    <row r="196" spans="2:9">
      <c r="B196" s="6">
        <v>288</v>
      </c>
      <c r="C196" s="7">
        <v>0.752</v>
      </c>
      <c r="D196" s="35"/>
      <c r="E196" s="35"/>
      <c r="F196" s="35"/>
      <c r="G196" s="35"/>
      <c r="H196" s="35"/>
      <c r="I196" s="41"/>
    </row>
    <row r="197" spans="2:9">
      <c r="B197" s="6">
        <v>299</v>
      </c>
      <c r="C197" s="7">
        <v>0.73</v>
      </c>
      <c r="D197" s="35"/>
      <c r="E197" s="35"/>
      <c r="F197" s="35"/>
      <c r="G197" s="35"/>
      <c r="H197" s="35"/>
      <c r="I197" s="41"/>
    </row>
    <row r="198" spans="2:9">
      <c r="B198" s="64"/>
      <c r="C198" s="35"/>
      <c r="D198" s="35"/>
      <c r="E198" s="35"/>
      <c r="F198" s="35"/>
      <c r="G198" s="35"/>
      <c r="H198" s="35"/>
      <c r="I198" s="41"/>
    </row>
    <row r="199" spans="2:9" ht="13.5" thickBot="1">
      <c r="B199" s="68"/>
      <c r="C199" s="29"/>
      <c r="D199" s="29"/>
      <c r="E199" s="29"/>
      <c r="F199" s="29"/>
      <c r="G199" s="29"/>
      <c r="H199" s="29"/>
      <c r="I199" s="42"/>
    </row>
  </sheetData>
  <mergeCells count="7">
    <mergeCell ref="B132:L132"/>
    <mergeCell ref="B175:I175"/>
    <mergeCell ref="B2:L2"/>
    <mergeCell ref="B82:L82"/>
    <mergeCell ref="C111:D111"/>
    <mergeCell ref="B109:F109"/>
    <mergeCell ref="C14:H14"/>
  </mergeCells>
  <phoneticPr fontId="0" type="noConversion"/>
  <pageMargins left="0.75" right="0.75" top="1" bottom="1" header="0.5" footer="0.5"/>
  <pageSetup scale="94" fitToHeight="10" orientation="landscape" r:id="rId1"/>
  <headerFooter alignWithMargins="0"/>
  <rowBreaks count="1" manualBreakCount="1">
    <brk id="8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B2:AB208"/>
  <sheetViews>
    <sheetView workbookViewId="0">
      <selection activeCell="Q212" sqref="Q212"/>
    </sheetView>
  </sheetViews>
  <sheetFormatPr defaultRowHeight="12.75"/>
  <cols>
    <col min="1" max="1" width="1.5703125" customWidth="1"/>
    <col min="2" max="2" width="11.7109375" customWidth="1"/>
    <col min="3" max="3" width="12.42578125" bestFit="1" customWidth="1"/>
    <col min="6" max="6" width="12" bestFit="1" customWidth="1"/>
    <col min="9" max="9" width="13.5703125" customWidth="1"/>
    <col min="10" max="10" width="10.140625" customWidth="1"/>
    <col min="12" max="12" width="11" bestFit="1" customWidth="1"/>
    <col min="28" max="28" width="12" bestFit="1" customWidth="1"/>
  </cols>
  <sheetData>
    <row r="2" spans="2:16">
      <c r="B2" s="269" t="s">
        <v>445</v>
      </c>
      <c r="C2" s="269"/>
      <c r="E2" s="269" t="s">
        <v>446</v>
      </c>
      <c r="F2" s="269"/>
      <c r="H2" s="269" t="s">
        <v>447</v>
      </c>
      <c r="I2" s="269"/>
      <c r="K2" s="269" t="s">
        <v>448</v>
      </c>
      <c r="L2" s="269"/>
      <c r="P2" s="209"/>
    </row>
    <row r="3" spans="2:16">
      <c r="B3" s="62" t="s">
        <v>281</v>
      </c>
      <c r="C3" s="62" t="s">
        <v>608</v>
      </c>
      <c r="E3" s="62" t="s">
        <v>281</v>
      </c>
      <c r="F3" s="62" t="s">
        <v>608</v>
      </c>
      <c r="H3" s="62" t="s">
        <v>281</v>
      </c>
      <c r="I3" s="62" t="s">
        <v>608</v>
      </c>
      <c r="K3" s="62" t="s">
        <v>281</v>
      </c>
      <c r="L3" s="62" t="s">
        <v>608</v>
      </c>
      <c r="P3" s="209"/>
    </row>
    <row r="4" spans="2:16">
      <c r="B4" s="75">
        <v>3.9797230524021652</v>
      </c>
      <c r="C4" s="63">
        <v>53.204391274083228</v>
      </c>
      <c r="E4" s="75">
        <v>1.4742705473883575</v>
      </c>
      <c r="F4" s="63">
        <v>3.9750748538231964</v>
      </c>
      <c r="H4" s="75">
        <v>3.9321700985785779</v>
      </c>
      <c r="I4" s="63">
        <v>3.0051553157465789</v>
      </c>
      <c r="K4" s="75">
        <v>10</v>
      </c>
      <c r="L4" s="63">
        <v>4190</v>
      </c>
      <c r="P4" s="209"/>
    </row>
    <row r="5" spans="2:16">
      <c r="B5" s="75">
        <v>5.6419602130039115</v>
      </c>
      <c r="C5" s="63">
        <v>79.017277480874341</v>
      </c>
      <c r="E5" s="75">
        <v>2.0352540120935694</v>
      </c>
      <c r="F5" s="63">
        <v>5.3064683412757336</v>
      </c>
      <c r="H5" s="75">
        <v>5.9328720088105635</v>
      </c>
      <c r="I5" s="63">
        <v>4.9335515489363813</v>
      </c>
      <c r="K5" s="75">
        <v>14.1</v>
      </c>
      <c r="L5" s="63">
        <v>4590</v>
      </c>
      <c r="P5" s="209"/>
    </row>
    <row r="6" spans="2:16">
      <c r="B6" s="75">
        <v>7.9995008539376142</v>
      </c>
      <c r="C6" s="63">
        <v>116.52625319169003</v>
      </c>
      <c r="E6" s="75">
        <v>2.8882940091828084</v>
      </c>
      <c r="F6" s="63">
        <v>7.4472726680443895</v>
      </c>
      <c r="H6" s="75">
        <v>8.4087365286717102</v>
      </c>
      <c r="I6" s="63">
        <v>7.4315598592284289</v>
      </c>
      <c r="K6" s="75">
        <v>20</v>
      </c>
      <c r="L6" s="63">
        <v>4000</v>
      </c>
      <c r="P6" s="209"/>
    </row>
    <row r="7" spans="2:16">
      <c r="B7" s="75">
        <v>11.352347301904512</v>
      </c>
      <c r="C7" s="63">
        <v>163.53678655801869</v>
      </c>
      <c r="E7" s="75">
        <v>4.0983446534079597</v>
      </c>
      <c r="F7" s="63">
        <v>10.525961949341941</v>
      </c>
      <c r="H7" s="75">
        <v>11.928516085674346</v>
      </c>
      <c r="I7" s="63">
        <v>10.653449399948562</v>
      </c>
      <c r="K7" s="75">
        <v>32</v>
      </c>
      <c r="L7" s="63">
        <v>1400</v>
      </c>
      <c r="P7" s="209"/>
    </row>
    <row r="8" spans="2:16">
      <c r="B8" s="75">
        <v>16.116678894443488</v>
      </c>
      <c r="C8" s="63">
        <v>224.69248506682669</v>
      </c>
      <c r="E8" s="75">
        <v>5.8153459601814772</v>
      </c>
      <c r="F8" s="63">
        <v>14.877375906271032</v>
      </c>
      <c r="H8" s="75">
        <v>16.928138376818008</v>
      </c>
      <c r="I8" s="63">
        <v>14.951402219721293</v>
      </c>
      <c r="K8" s="75">
        <v>35</v>
      </c>
      <c r="L8" s="63">
        <v>1300</v>
      </c>
      <c r="P8" s="209"/>
    </row>
    <row r="9" spans="2:16">
      <c r="B9" s="75">
        <v>22.892237509305431</v>
      </c>
      <c r="C9" s="63">
        <v>300.1028931466534</v>
      </c>
      <c r="E9" s="75">
        <v>8.2495684807410488</v>
      </c>
      <c r="F9" s="63">
        <v>21.32733563663011</v>
      </c>
      <c r="H9" s="75">
        <v>24.026343498982037</v>
      </c>
      <c r="I9" s="63">
        <v>20.835347067973949</v>
      </c>
      <c r="K9" s="75">
        <v>39</v>
      </c>
      <c r="L9" s="63">
        <v>1100</v>
      </c>
      <c r="P9" s="209"/>
    </row>
    <row r="10" spans="2:16">
      <c r="B10" s="75">
        <v>32.549666593832491</v>
      </c>
      <c r="C10" s="63">
        <v>378.76418902265198</v>
      </c>
      <c r="E10" s="75">
        <v>11.710229721700021</v>
      </c>
      <c r="F10" s="63">
        <v>29.510906807335697</v>
      </c>
      <c r="H10" s="75">
        <v>34.114048881183365</v>
      </c>
      <c r="I10" s="63">
        <v>28.425032091792406</v>
      </c>
      <c r="K10" s="75">
        <v>50</v>
      </c>
      <c r="L10" s="63">
        <v>710</v>
      </c>
      <c r="P10" s="209"/>
    </row>
    <row r="11" spans="2:16">
      <c r="B11" s="75">
        <v>40.281736754534428</v>
      </c>
      <c r="C11" s="63">
        <v>391.12954885751765</v>
      </c>
      <c r="E11" s="75">
        <v>16.626889112481329</v>
      </c>
      <c r="F11" s="63">
        <v>40.260835124067015</v>
      </c>
      <c r="H11" s="75">
        <v>48.44960669645657</v>
      </c>
      <c r="I11" s="63">
        <v>38.234504091807594</v>
      </c>
      <c r="K11" s="75">
        <v>60</v>
      </c>
      <c r="L11" s="63">
        <v>500</v>
      </c>
      <c r="P11" s="209"/>
    </row>
    <row r="12" spans="2:16">
      <c r="B12" s="75">
        <v>46.471564279493464</v>
      </c>
      <c r="C12" s="63">
        <v>381.18518754869217</v>
      </c>
      <c r="E12" s="75">
        <v>23.610886171319105</v>
      </c>
      <c r="F12" s="63">
        <v>54.539372941923816</v>
      </c>
      <c r="H12" s="75">
        <v>68.835797554218018</v>
      </c>
      <c r="I12" s="63">
        <v>50.34906036271466</v>
      </c>
      <c r="K12" s="75">
        <v>300</v>
      </c>
      <c r="L12" s="63">
        <v>235</v>
      </c>
      <c r="P12" s="209"/>
    </row>
    <row r="13" spans="2:16">
      <c r="B13" s="75">
        <v>66.586728602576372</v>
      </c>
      <c r="C13" s="63">
        <v>314.67551397686657</v>
      </c>
      <c r="E13" s="75">
        <v>33.549965789446176</v>
      </c>
      <c r="F13" s="63">
        <v>71.313735420557961</v>
      </c>
      <c r="H13" s="75">
        <v>97.850093986527185</v>
      </c>
      <c r="I13" s="63">
        <v>64.451914939254209</v>
      </c>
      <c r="P13" s="209"/>
    </row>
    <row r="14" spans="2:16">
      <c r="B14" s="75">
        <v>95.408719175602883</v>
      </c>
      <c r="C14" s="63">
        <v>259.77053235825525</v>
      </c>
      <c r="E14" s="75">
        <v>47.691280153416585</v>
      </c>
      <c r="F14" s="63">
        <v>91.288829944679861</v>
      </c>
      <c r="H14" s="75">
        <v>139.11176058910004</v>
      </c>
      <c r="I14" s="63">
        <v>81.923296088374173</v>
      </c>
      <c r="P14" s="209"/>
    </row>
    <row r="15" spans="2:16">
      <c r="B15" s="75">
        <v>128.00560886152249</v>
      </c>
      <c r="C15" s="63">
        <v>234.83669616509943</v>
      </c>
      <c r="E15" s="75">
        <v>67.81055227981814</v>
      </c>
      <c r="F15" s="63">
        <v>115.2169486880836</v>
      </c>
      <c r="H15" s="75">
        <v>197.89961718281242</v>
      </c>
      <c r="I15" s="63">
        <v>100.51125441103794</v>
      </c>
      <c r="P15" s="209"/>
    </row>
    <row r="16" spans="2:16">
      <c r="B16" s="75">
        <v>211.10857079038848</v>
      </c>
      <c r="C16" s="63">
        <v>214.59511096487284</v>
      </c>
      <c r="E16" s="75">
        <v>96.491663003432905</v>
      </c>
      <c r="F16" s="63">
        <v>139.37276591183044</v>
      </c>
      <c r="H16" s="75">
        <v>293.97185748846181</v>
      </c>
      <c r="I16" s="63">
        <v>119.96721269068995</v>
      </c>
      <c r="P16" s="209"/>
    </row>
    <row r="17" spans="2:17">
      <c r="B17" s="75">
        <v>291.00827838604823</v>
      </c>
      <c r="C17" s="63">
        <v>209.80641593608209</v>
      </c>
      <c r="E17" s="75">
        <v>137.40942107713818</v>
      </c>
      <c r="F17" s="63">
        <v>161.58546366041514</v>
      </c>
      <c r="P17" s="209"/>
    </row>
    <row r="18" spans="2:17">
      <c r="E18" s="75">
        <v>195.85431235865414</v>
      </c>
      <c r="F18" s="63">
        <v>178.28574326926429</v>
      </c>
      <c r="P18" s="209"/>
    </row>
    <row r="19" spans="2:17">
      <c r="E19" s="75">
        <v>289.53678757143774</v>
      </c>
      <c r="F19" s="63">
        <v>187.3258064296287</v>
      </c>
      <c r="P19" s="209"/>
    </row>
    <row r="21" spans="2:17">
      <c r="K21" s="203"/>
      <c r="L21" s="278" t="s">
        <v>510</v>
      </c>
      <c r="M21" s="278"/>
      <c r="N21" s="278"/>
      <c r="O21" s="278"/>
      <c r="P21" s="278"/>
    </row>
    <row r="22" spans="2:17">
      <c r="B22" s="270" t="s">
        <v>449</v>
      </c>
      <c r="C22" s="270"/>
      <c r="D22" s="270"/>
      <c r="E22" s="270"/>
      <c r="G22" s="74"/>
      <c r="H22" s="270" t="s">
        <v>450</v>
      </c>
      <c r="I22" s="270"/>
      <c r="K22" s="204" t="s">
        <v>280</v>
      </c>
      <c r="L22" s="204" t="s">
        <v>507</v>
      </c>
      <c r="M22" s="204" t="s">
        <v>508</v>
      </c>
      <c r="N22" s="204" t="s">
        <v>315</v>
      </c>
      <c r="O22" s="204" t="s">
        <v>351</v>
      </c>
      <c r="P22" s="204" t="s">
        <v>509</v>
      </c>
      <c r="Q22" s="162" t="s">
        <v>30</v>
      </c>
    </row>
    <row r="23" spans="2:17">
      <c r="B23" s="76" t="s">
        <v>281</v>
      </c>
      <c r="C23" s="62" t="s">
        <v>608</v>
      </c>
      <c r="H23" s="62" t="s">
        <v>281</v>
      </c>
      <c r="I23" s="62" t="s">
        <v>608</v>
      </c>
      <c r="K23" s="203">
        <v>5</v>
      </c>
      <c r="L23" s="203">
        <f>0.321081967567885</f>
        <v>0.32108196756788498</v>
      </c>
      <c r="M23" s="203">
        <f>74.1868780070496</f>
        <v>74.1868780070496</v>
      </c>
      <c r="N23" s="203"/>
      <c r="O23" s="203">
        <f>0.366253228970887</f>
        <v>0.36625322897088702</v>
      </c>
      <c r="P23" s="203"/>
      <c r="Q23" s="162">
        <f>0.67914397505939</f>
        <v>0.67914397505938995</v>
      </c>
    </row>
    <row r="24" spans="2:17">
      <c r="B24" s="75">
        <v>5</v>
      </c>
      <c r="C24" s="63">
        <v>107.15408805031443</v>
      </c>
      <c r="H24" s="75">
        <v>5</v>
      </c>
      <c r="I24" s="63">
        <v>0.74612403100775748</v>
      </c>
      <c r="K24" s="203">
        <v>10</v>
      </c>
      <c r="L24" s="203">
        <f>0.733851185247431</f>
        <v>0.73385118524743098</v>
      </c>
      <c r="M24" s="203">
        <f>146.268227978493</f>
        <v>146.268227978493</v>
      </c>
      <c r="N24" s="203"/>
      <c r="O24" s="203">
        <f>0.903857570660176</f>
        <v>0.90385757066017602</v>
      </c>
      <c r="P24" s="203">
        <f>0.112201845430196</f>
        <v>0.112201845430196</v>
      </c>
      <c r="Q24" s="162">
        <f>1.51893783493407</f>
        <v>1.5189378349340701</v>
      </c>
    </row>
    <row r="25" spans="2:17">
      <c r="B25" s="75">
        <v>10</v>
      </c>
      <c r="C25" s="63">
        <v>214.30817610062894</v>
      </c>
      <c r="H25" s="75">
        <v>10</v>
      </c>
      <c r="I25" s="63">
        <v>1.4922480620155147</v>
      </c>
      <c r="K25" s="203">
        <v>15</v>
      </c>
      <c r="L25" s="203">
        <f>1.18583053479707</f>
        <v>1.1858305347970699</v>
      </c>
      <c r="M25" s="203">
        <f>220.146050117638</f>
        <v>220.146050117638</v>
      </c>
      <c r="N25" s="203"/>
      <c r="O25" s="203">
        <f>1.51819549291556</f>
        <v>1.5181954929155601</v>
      </c>
      <c r="P25" s="203">
        <f>0.135355086391494</f>
        <v>0.13535508639149399</v>
      </c>
      <c r="Q25" s="162">
        <f>2.2827127844588</f>
        <v>2.2827127844588002</v>
      </c>
    </row>
    <row r="26" spans="2:17">
      <c r="B26" s="75">
        <v>15</v>
      </c>
      <c r="C26" s="63">
        <v>321.46226415094338</v>
      </c>
      <c r="H26" s="75">
        <v>14.61038961038961</v>
      </c>
      <c r="I26" s="63">
        <v>2.1802325581395507</v>
      </c>
      <c r="K26" s="203">
        <v>20</v>
      </c>
      <c r="L26" s="203">
        <f>1.65206881275602</f>
        <v>1.6520688127560199</v>
      </c>
      <c r="M26" s="203">
        <f>286.934314303482</f>
        <v>286.93431430348198</v>
      </c>
      <c r="N26" s="203">
        <f>0.84259974075132</f>
        <v>0.84259974075132005</v>
      </c>
      <c r="O26" s="203">
        <f>2.16862240629464</f>
        <v>2.1686224062946402</v>
      </c>
      <c r="P26" s="203">
        <f>0.156421869665968</f>
        <v>0.15642186966596799</v>
      </c>
      <c r="Q26" s="162">
        <f>2.95558034044794</f>
        <v>2.9555803404479399</v>
      </c>
    </row>
    <row r="27" spans="2:17">
      <c r="B27" s="75">
        <v>20</v>
      </c>
      <c r="C27" s="63">
        <v>428.61635220125788</v>
      </c>
      <c r="H27" s="75">
        <v>23.051948051948052</v>
      </c>
      <c r="I27" s="63">
        <v>19.622093023255729</v>
      </c>
      <c r="K27" s="203">
        <v>50</v>
      </c>
      <c r="L27" s="203">
        <f>4.24734783274599</f>
        <v>4.2473478327459899</v>
      </c>
      <c r="M27" s="203">
        <f>307.252016171041</f>
        <v>307.25201617104102</v>
      </c>
      <c r="N27" s="203">
        <f>2.41067492715497</f>
        <v>2.4106749271549699</v>
      </c>
      <c r="O27" s="203">
        <f>5.7301669362782</f>
        <v>5.7301669362782004</v>
      </c>
      <c r="P27" s="203">
        <f>0.238163638900115</f>
        <v>0.23816363890011499</v>
      </c>
      <c r="Q27" s="162">
        <f>5.31620030442212</f>
        <v>5.3162003044221198</v>
      </c>
    </row>
    <row r="28" spans="2:17">
      <c r="B28" s="75">
        <v>25.531914893617028</v>
      </c>
      <c r="C28" s="63">
        <v>547.16981132075489</v>
      </c>
      <c r="H28" s="75">
        <v>35.38961038961039</v>
      </c>
      <c r="I28" s="63">
        <v>69.767441860465169</v>
      </c>
      <c r="K28" s="203">
        <v>75</v>
      </c>
      <c r="L28" s="203">
        <f>6.05608667216411</f>
        <v>6.0560866721641098</v>
      </c>
      <c r="M28" s="203">
        <f>219.907534355026</f>
        <v>219.907534355026</v>
      </c>
      <c r="N28" s="203">
        <f>3.42526671128099</f>
        <v>3.4252667112809898</v>
      </c>
      <c r="O28" s="203">
        <f>7.78684462525685</f>
        <v>7.7868446252568502</v>
      </c>
      <c r="P28" s="203">
        <f>0.277249671787415</f>
        <v>0.277249671787415</v>
      </c>
      <c r="Q28" s="162">
        <f>6.3625879291616</f>
        <v>6.3625879291615997</v>
      </c>
    </row>
    <row r="29" spans="2:17">
      <c r="B29" s="75">
        <v>49.645390070921991</v>
      </c>
      <c r="C29" s="63">
        <v>1075.4716981132078</v>
      </c>
      <c r="H29" s="75">
        <v>60.38961038961039</v>
      </c>
      <c r="I29" s="63">
        <v>233.28488372093011</v>
      </c>
      <c r="K29" s="203">
        <v>100</v>
      </c>
      <c r="L29" s="203">
        <f>7.61139043243726</f>
        <v>7.6113904324372603</v>
      </c>
      <c r="M29" s="203">
        <f>174.505853819628</f>
        <v>174.50585381962799</v>
      </c>
      <c r="N29" s="203">
        <f>3.80448608500413</f>
        <v>3.8044860850041302</v>
      </c>
      <c r="O29" s="203">
        <f>9.22359021688247</f>
        <v>9.2235902168824708</v>
      </c>
      <c r="P29" s="203">
        <f>0.309599321330905</f>
        <v>0.30959932133090501</v>
      </c>
      <c r="Q29" s="162">
        <f>7.1185247606473</f>
        <v>7.1185247606472997</v>
      </c>
    </row>
    <row r="30" spans="2:17">
      <c r="B30" s="75">
        <v>75.177304964539005</v>
      </c>
      <c r="C30" s="63">
        <v>1641.5094339622644</v>
      </c>
      <c r="H30" s="75">
        <v>90.259740259740255</v>
      </c>
      <c r="I30" s="63">
        <v>449.12790697674404</v>
      </c>
      <c r="K30" s="203">
        <v>150</v>
      </c>
      <c r="L30" s="203">
        <f>10.1113447632177</f>
        <v>10.1113447632177</v>
      </c>
      <c r="M30" s="203">
        <f>145.361454835224</f>
        <v>145.36145483522401</v>
      </c>
      <c r="N30" s="203">
        <f>4.62151836670462</f>
        <v>4.6215183667046196</v>
      </c>
      <c r="O30" s="203">
        <f>11.1651543585882</f>
        <v>11.1651543585882</v>
      </c>
      <c r="P30" s="203">
        <f>0.373733984280548</f>
        <v>0.37373398428054799</v>
      </c>
      <c r="Q30" s="162">
        <f>8.12110315301107</f>
        <v>8.1211031530110702</v>
      </c>
    </row>
    <row r="31" spans="2:17">
      <c r="B31" s="75">
        <v>100.70921985815603</v>
      </c>
      <c r="C31" s="63">
        <v>2226.415094339623</v>
      </c>
      <c r="H31" s="75">
        <v>120.12987012987011</v>
      </c>
      <c r="I31" s="63">
        <v>656.25</v>
      </c>
      <c r="K31" s="203">
        <v>200</v>
      </c>
      <c r="L31" s="203">
        <f>11.9150864792504</f>
        <v>11.9150864792504</v>
      </c>
      <c r="M31" s="203">
        <f>141.411612823987</f>
        <v>141.41161282398701</v>
      </c>
      <c r="N31" s="203">
        <f>5.74984595028219</f>
        <v>5.7498459502821904</v>
      </c>
      <c r="O31" s="203">
        <f>12.6326958770459</f>
        <v>12.632695877045901</v>
      </c>
      <c r="P31" s="203">
        <f>0.444711587433745</f>
        <v>0.444711587433745</v>
      </c>
      <c r="Q31" s="162">
        <f>8.72048795005266</f>
        <v>8.7204879500526609</v>
      </c>
    </row>
    <row r="32" spans="2:17">
      <c r="B32" s="75">
        <v>123.40425531914893</v>
      </c>
      <c r="C32" s="63">
        <v>2641.5094339622647</v>
      </c>
      <c r="H32" s="75">
        <v>140.25974025974025</v>
      </c>
      <c r="I32" s="63">
        <v>821.94767441860461</v>
      </c>
      <c r="K32" s="203">
        <v>250</v>
      </c>
      <c r="L32" s="203">
        <f>13.1236558949587</f>
        <v>13.1236558949587</v>
      </c>
      <c r="M32" s="203">
        <f>140.698471309714</f>
        <v>140.69847130971399</v>
      </c>
      <c r="N32" s="203">
        <f>6.59314985826402</f>
        <v>6.5931498582640202</v>
      </c>
      <c r="O32" s="203">
        <f>13.9812447520623</f>
        <v>13.981244752062301</v>
      </c>
      <c r="P32" s="203">
        <f>0.52332247270971</f>
        <v>0.52332247270971</v>
      </c>
      <c r="Q32" s="162">
        <f>9.19873275786006</f>
        <v>9.1987327578600606</v>
      </c>
    </row>
    <row r="33" spans="2:17">
      <c r="B33" s="75">
        <v>130.49645390070924</v>
      </c>
      <c r="C33" s="63">
        <v>2716.981132075472</v>
      </c>
      <c r="H33" s="75">
        <v>170.12987012987011</v>
      </c>
      <c r="I33" s="63">
        <v>924.4186046511627</v>
      </c>
      <c r="K33" s="203">
        <v>300</v>
      </c>
      <c r="L33" s="203">
        <f>13.8348859875939</f>
        <v>13.8348859875939</v>
      </c>
      <c r="M33" s="203">
        <f>138.570788996394</f>
        <v>138.57078899639399</v>
      </c>
      <c r="N33" s="203">
        <f>7.55457237869005</f>
        <v>7.5545723786900503</v>
      </c>
      <c r="O33" s="203">
        <f>15.3086538243481</f>
        <v>15.308653824348101</v>
      </c>
      <c r="P33" s="203">
        <f>0.607982754731121</f>
        <v>0.60798275473112096</v>
      </c>
      <c r="Q33" s="162">
        <f>9.79287324276863</f>
        <v>9.7928732427686302</v>
      </c>
    </row>
    <row r="34" spans="2:17">
      <c r="B34" s="75">
        <v>147.51773049645391</v>
      </c>
      <c r="C34" s="63">
        <v>2849.0566037735853</v>
      </c>
      <c r="H34" s="75">
        <v>200</v>
      </c>
      <c r="I34" s="63">
        <v>987.64534883720921</v>
      </c>
    </row>
    <row r="35" spans="2:17">
      <c r="B35" s="75">
        <v>173.04964539007091</v>
      </c>
      <c r="C35" s="63">
        <v>2735.849056603774</v>
      </c>
      <c r="H35" s="75">
        <v>230.19480519480521</v>
      </c>
      <c r="I35" s="63">
        <v>1013.8081395348836</v>
      </c>
    </row>
    <row r="36" spans="2:17">
      <c r="B36" s="75">
        <v>222.69503546099293</v>
      </c>
      <c r="C36" s="63">
        <v>2264.1509433962265</v>
      </c>
      <c r="H36" s="75">
        <v>240.25974025974023</v>
      </c>
      <c r="I36" s="63">
        <v>1018.1686046511627</v>
      </c>
    </row>
    <row r="37" spans="2:17">
      <c r="B37" s="75">
        <v>248.22695035460993</v>
      </c>
      <c r="C37" s="63">
        <v>2056.6037735849059</v>
      </c>
      <c r="H37" s="75">
        <v>260.06493506493507</v>
      </c>
      <c r="I37" s="63">
        <v>1009.4476744186046</v>
      </c>
    </row>
    <row r="38" spans="2:17">
      <c r="B38" s="75">
        <v>273.75886524822698</v>
      </c>
      <c r="C38" s="63">
        <v>1849.0566037735853</v>
      </c>
      <c r="H38" s="75">
        <v>280.19480519480521</v>
      </c>
      <c r="I38" s="63">
        <v>983.28488372093011</v>
      </c>
    </row>
    <row r="39" spans="2:17">
      <c r="B39" s="75">
        <v>321.98581560283691</v>
      </c>
      <c r="C39" s="63">
        <v>1566.0377358490568</v>
      </c>
      <c r="H39" s="75">
        <v>300.3246753246753</v>
      </c>
      <c r="I39" s="63">
        <v>933.1395348837209</v>
      </c>
    </row>
    <row r="40" spans="2:17">
      <c r="B40" s="75">
        <v>347.51773049645391</v>
      </c>
      <c r="C40" s="63">
        <v>1471.6981132075475</v>
      </c>
    </row>
    <row r="41" spans="2:17">
      <c r="B41" s="75">
        <v>373.04964539007096</v>
      </c>
      <c r="C41" s="63">
        <v>1452.8301886792456</v>
      </c>
    </row>
    <row r="43" spans="2:17">
      <c r="B43" s="269" t="s">
        <v>451</v>
      </c>
      <c r="C43" s="269"/>
      <c r="D43" s="269"/>
      <c r="H43" s="270" t="s">
        <v>464</v>
      </c>
      <c r="I43" s="270"/>
    </row>
    <row r="44" spans="2:17">
      <c r="B44" s="76" t="s">
        <v>281</v>
      </c>
      <c r="C44" s="62" t="s">
        <v>608</v>
      </c>
      <c r="H44" s="62" t="s">
        <v>281</v>
      </c>
      <c r="I44" s="62" t="s">
        <v>608</v>
      </c>
    </row>
    <row r="45" spans="2:17">
      <c r="B45" s="75">
        <v>4.220779220779221</v>
      </c>
      <c r="C45" s="63">
        <v>730.37790697674416</v>
      </c>
      <c r="H45" s="7">
        <f>273.15-140</f>
        <v>133.14999999999998</v>
      </c>
      <c r="I45" s="7">
        <v>396</v>
      </c>
    </row>
    <row r="46" spans="2:17">
      <c r="B46" s="75">
        <v>6.1688311688311686</v>
      </c>
      <c r="C46" s="63">
        <v>933.1395348837209</v>
      </c>
      <c r="H46" s="7">
        <f>273.15-100</f>
        <v>173.14999999999998</v>
      </c>
      <c r="I46" s="7">
        <v>485</v>
      </c>
    </row>
    <row r="47" spans="2:17">
      <c r="B47" s="75">
        <v>8.1168831168831161</v>
      </c>
      <c r="C47" s="63">
        <v>1240.5523255813953</v>
      </c>
      <c r="H47" s="7">
        <f>273.15</f>
        <v>273.14999999999998</v>
      </c>
      <c r="I47" s="7">
        <v>333</v>
      </c>
    </row>
    <row r="48" spans="2:17">
      <c r="B48" s="75">
        <v>10</v>
      </c>
      <c r="C48" s="63">
        <v>1810</v>
      </c>
      <c r="H48" s="7">
        <f>273.15+200</f>
        <v>473.15</v>
      </c>
      <c r="I48" s="7">
        <v>221</v>
      </c>
    </row>
    <row r="49" spans="2:18">
      <c r="B49" s="75">
        <v>20</v>
      </c>
      <c r="C49" s="63">
        <v>2440</v>
      </c>
    </row>
    <row r="50" spans="2:18">
      <c r="B50" s="75">
        <v>39.935064935064936</v>
      </c>
      <c r="C50" s="63">
        <v>1486.9186046511627</v>
      </c>
    </row>
    <row r="51" spans="2:18">
      <c r="B51" s="75">
        <v>45.129870129870135</v>
      </c>
      <c r="C51" s="63">
        <v>1214.3895348837209</v>
      </c>
      <c r="H51" s="270" t="s">
        <v>532</v>
      </c>
      <c r="I51" s="270"/>
      <c r="K51" s="270" t="s">
        <v>541</v>
      </c>
      <c r="L51" s="270"/>
      <c r="N51" s="271" t="s">
        <v>556</v>
      </c>
      <c r="O51" s="270"/>
      <c r="Q51" s="270" t="s">
        <v>670</v>
      </c>
      <c r="R51" s="270"/>
    </row>
    <row r="52" spans="2:18">
      <c r="B52" s="75">
        <v>50.324675324675333</v>
      </c>
      <c r="C52" s="63">
        <v>1005.0872093023255</v>
      </c>
      <c r="H52" s="62" t="s">
        <v>280</v>
      </c>
      <c r="I52" s="62" t="s">
        <v>608</v>
      </c>
      <c r="K52" s="62" t="s">
        <v>330</v>
      </c>
      <c r="L52" s="62" t="s">
        <v>608</v>
      </c>
      <c r="N52" s="62" t="s">
        <v>330</v>
      </c>
      <c r="O52" s="62" t="s">
        <v>608</v>
      </c>
      <c r="Q52" s="62" t="s">
        <v>330</v>
      </c>
      <c r="R52" s="62" t="s">
        <v>608</v>
      </c>
    </row>
    <row r="53" spans="2:18">
      <c r="B53" s="75">
        <v>55.194805194805191</v>
      </c>
      <c r="C53" s="63">
        <v>852.47093023255809</v>
      </c>
      <c r="H53" s="7">
        <v>89</v>
      </c>
      <c r="I53" s="7">
        <v>0.161</v>
      </c>
      <c r="K53" s="7">
        <v>100</v>
      </c>
      <c r="L53" s="7">
        <v>129.62962962962962</v>
      </c>
      <c r="N53" s="7">
        <v>138</v>
      </c>
      <c r="O53" s="7">
        <v>256</v>
      </c>
      <c r="Q53" s="7">
        <v>40</v>
      </c>
      <c r="R53" s="7">
        <v>35</v>
      </c>
    </row>
    <row r="54" spans="2:18">
      <c r="B54" s="75">
        <v>60.38961038961039</v>
      </c>
      <c r="C54" s="63">
        <v>741.2790697674418</v>
      </c>
      <c r="K54" s="7">
        <v>150</v>
      </c>
      <c r="L54" s="7">
        <v>171.85185185185185</v>
      </c>
      <c r="N54" s="7">
        <v>208</v>
      </c>
      <c r="O54" s="7">
        <v>217</v>
      </c>
      <c r="Q54" s="7">
        <v>170</v>
      </c>
      <c r="R54" s="7">
        <v>63</v>
      </c>
    </row>
    <row r="55" spans="2:18">
      <c r="B55" s="75">
        <v>64.935064935064929</v>
      </c>
      <c r="C55" s="63">
        <v>662.79069767441854</v>
      </c>
      <c r="K55" s="7">
        <v>200</v>
      </c>
      <c r="L55" s="7">
        <v>189.62962962962962</v>
      </c>
      <c r="N55" s="7">
        <v>263</v>
      </c>
      <c r="O55" s="7">
        <v>182</v>
      </c>
      <c r="Q55" s="7">
        <v>293</v>
      </c>
      <c r="R55" s="7">
        <v>120</v>
      </c>
    </row>
    <row r="56" spans="2:18">
      <c r="B56" s="75">
        <v>75</v>
      </c>
      <c r="C56" s="63">
        <v>560.31976744186045</v>
      </c>
      <c r="K56" s="7">
        <v>250</v>
      </c>
      <c r="L56" s="7">
        <v>177.03703703703704</v>
      </c>
      <c r="N56" s="7">
        <v>298</v>
      </c>
      <c r="O56" s="7">
        <v>165</v>
      </c>
    </row>
    <row r="57" spans="2:18">
      <c r="B57" s="75">
        <v>90.259740259740255</v>
      </c>
      <c r="C57" s="63">
        <v>488.37209302325573</v>
      </c>
      <c r="K57" s="7">
        <v>300</v>
      </c>
      <c r="L57" s="7">
        <v>157.03703703703704</v>
      </c>
    </row>
    <row r="58" spans="2:18">
      <c r="B58" s="75">
        <v>100.32467532467533</v>
      </c>
      <c r="C58" s="63">
        <v>462.20930232558135</v>
      </c>
      <c r="K58" s="7">
        <v>350</v>
      </c>
      <c r="L58" s="7">
        <v>138.88888888888889</v>
      </c>
    </row>
    <row r="59" spans="2:18">
      <c r="B59" s="75">
        <v>125</v>
      </c>
      <c r="C59" s="63">
        <v>431.68604651162792</v>
      </c>
      <c r="K59" s="7">
        <v>400</v>
      </c>
      <c r="L59" s="7">
        <v>131.11111111111111</v>
      </c>
    </row>
    <row r="60" spans="2:18">
      <c r="B60" s="75">
        <v>150.32467532467533</v>
      </c>
      <c r="C60" s="63">
        <v>418.60465116279056</v>
      </c>
      <c r="K60" s="7">
        <v>450</v>
      </c>
      <c r="L60" s="7">
        <v>120</v>
      </c>
    </row>
    <row r="61" spans="2:18">
      <c r="B61" s="75">
        <v>200</v>
      </c>
      <c r="C61" s="63">
        <v>409.88372093023264</v>
      </c>
      <c r="K61" s="7">
        <v>500</v>
      </c>
      <c r="L61" s="7">
        <v>115.55555555555556</v>
      </c>
    </row>
    <row r="62" spans="2:18">
      <c r="B62" s="75">
        <v>300</v>
      </c>
      <c r="C62" s="63">
        <v>398.98255813953483</v>
      </c>
    </row>
    <row r="64" spans="2:18">
      <c r="B64" s="74"/>
    </row>
    <row r="65" spans="2:28">
      <c r="C65" s="271" t="s">
        <v>609</v>
      </c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</row>
    <row r="66" spans="2:28" ht="51">
      <c r="B66" s="62" t="s">
        <v>337</v>
      </c>
      <c r="C66" s="91" t="s">
        <v>338</v>
      </c>
      <c r="D66" s="62" t="s">
        <v>351</v>
      </c>
      <c r="E66" s="79" t="s">
        <v>314</v>
      </c>
      <c r="F66" s="79" t="s">
        <v>353</v>
      </c>
      <c r="G66" s="91" t="s">
        <v>469</v>
      </c>
      <c r="H66" s="79" t="s">
        <v>355</v>
      </c>
      <c r="I66" s="79" t="s">
        <v>356</v>
      </c>
      <c r="J66" s="91" t="s">
        <v>358</v>
      </c>
      <c r="K66" s="62" t="s">
        <v>315</v>
      </c>
      <c r="L66" s="62" t="s">
        <v>359</v>
      </c>
      <c r="M66" s="62" t="s">
        <v>317</v>
      </c>
      <c r="N66" s="91" t="s">
        <v>360</v>
      </c>
      <c r="O66" s="91" t="s">
        <v>361</v>
      </c>
      <c r="P66" s="91" t="s">
        <v>362</v>
      </c>
      <c r="Q66" s="91" t="s">
        <v>363</v>
      </c>
      <c r="R66" s="91" t="s">
        <v>364</v>
      </c>
      <c r="S66" s="92" t="s">
        <v>369</v>
      </c>
      <c r="T66" s="92" t="s">
        <v>370</v>
      </c>
      <c r="U66" s="92" t="s">
        <v>371</v>
      </c>
      <c r="V66" s="92" t="s">
        <v>372</v>
      </c>
      <c r="W66" s="62" t="s">
        <v>26</v>
      </c>
      <c r="X66" s="62" t="s">
        <v>365</v>
      </c>
      <c r="Y66" s="91" t="s">
        <v>366</v>
      </c>
      <c r="Z66" s="62" t="s">
        <v>367</v>
      </c>
      <c r="AA66" s="62" t="s">
        <v>368</v>
      </c>
      <c r="AB66" s="145" t="s">
        <v>685</v>
      </c>
    </row>
    <row r="67" spans="2:28">
      <c r="B67" s="62" t="s">
        <v>339</v>
      </c>
      <c r="C67" s="7">
        <v>7.918E-2</v>
      </c>
      <c r="D67" s="83">
        <v>-1.4087000000000001</v>
      </c>
      <c r="E67" s="83">
        <v>-8.2892100000000006</v>
      </c>
      <c r="F67" s="88">
        <v>23.391719999999999</v>
      </c>
      <c r="G67" s="120">
        <v>0.63736000000000004</v>
      </c>
      <c r="H67" s="83">
        <v>-0.81906999999999996</v>
      </c>
      <c r="I67" s="83">
        <v>-1.4087000000000001</v>
      </c>
      <c r="J67" s="83">
        <v>-0.50014999999999998</v>
      </c>
      <c r="K67" s="83">
        <v>-5107.8774000000003</v>
      </c>
      <c r="L67" s="83">
        <v>63.697708589999998</v>
      </c>
      <c r="M67" s="83">
        <v>2.738</v>
      </c>
      <c r="N67" s="83">
        <v>-2.6135000000000002</v>
      </c>
      <c r="O67" s="83">
        <v>5.7310100000000004</v>
      </c>
      <c r="P67" s="83">
        <v>-4.1235999999999997</v>
      </c>
      <c r="Q67" s="83">
        <v>-2.6482700000000001</v>
      </c>
      <c r="R67" s="83">
        <v>-2.7063999999999999</v>
      </c>
      <c r="S67" s="83">
        <v>-3.5785</v>
      </c>
      <c r="T67" s="83">
        <v>0.89480999999999999</v>
      </c>
      <c r="U67" s="83">
        <v>-0.57245000000000001</v>
      </c>
      <c r="V67" s="83">
        <v>-7.1278499999999995E-2</v>
      </c>
      <c r="W67" s="83">
        <v>10.782590000000001</v>
      </c>
      <c r="X67" s="83">
        <v>2.1035000000000002E-2</v>
      </c>
      <c r="Y67" s="83">
        <v>-1.37737</v>
      </c>
      <c r="Z67" s="83">
        <v>38.963479</v>
      </c>
      <c r="AA67" s="83">
        <v>-7.3345005399999996</v>
      </c>
      <c r="AB67" s="7">
        <v>22.401433000000001</v>
      </c>
    </row>
    <row r="68" spans="2:28">
      <c r="B68" s="62" t="s">
        <v>340</v>
      </c>
      <c r="C68" s="7">
        <v>1.0956999999999999</v>
      </c>
      <c r="D68" s="83">
        <v>1.3982000000000001</v>
      </c>
      <c r="E68" s="83">
        <v>39.447000000000003</v>
      </c>
      <c r="F68" s="88">
        <v>-148.57329999999999</v>
      </c>
      <c r="G68" s="120">
        <v>-1.1436999999999999</v>
      </c>
      <c r="H68" s="83">
        <v>-2.1966999999999999</v>
      </c>
      <c r="I68" s="83">
        <v>1.3982000000000001</v>
      </c>
      <c r="J68" s="83">
        <v>1.9319</v>
      </c>
      <c r="K68" s="83">
        <v>19240.421999999999</v>
      </c>
      <c r="L68" s="83">
        <v>-426.99330400000002</v>
      </c>
      <c r="M68" s="83">
        <v>-30.677</v>
      </c>
      <c r="N68" s="83">
        <v>2.3239000000000001</v>
      </c>
      <c r="O68" s="83">
        <v>-39.5199</v>
      </c>
      <c r="P68" s="83">
        <v>13.788</v>
      </c>
      <c r="Q68" s="83">
        <v>8.8022799999999997</v>
      </c>
      <c r="R68" s="83">
        <v>8.5190999999999999</v>
      </c>
      <c r="S68" s="83">
        <v>20.803999999999998</v>
      </c>
      <c r="T68" s="83">
        <v>-8.1997999999999998</v>
      </c>
      <c r="U68" s="83">
        <v>-0.33593000000000001</v>
      </c>
      <c r="V68" s="83">
        <v>-3.4873500000000002</v>
      </c>
      <c r="W68" s="83">
        <v>-72.130650000000003</v>
      </c>
      <c r="X68" s="83">
        <v>-1.0183500000000001</v>
      </c>
      <c r="Y68" s="83">
        <v>-3.4066800000000002</v>
      </c>
      <c r="Z68" s="83">
        <v>-221.40504999999999</v>
      </c>
      <c r="AA68" s="83">
        <v>80.855048400000001</v>
      </c>
      <c r="AB68" s="7">
        <v>-141.13433000000001</v>
      </c>
    </row>
    <row r="69" spans="2:28">
      <c r="B69" s="62" t="s">
        <v>349</v>
      </c>
      <c r="C69" s="7">
        <v>-7.2770000000000001E-2</v>
      </c>
      <c r="D69" s="83">
        <v>0.25430000000000003</v>
      </c>
      <c r="E69" s="83">
        <v>-83.435299999999998</v>
      </c>
      <c r="F69" s="88">
        <v>422.19170000000003</v>
      </c>
      <c r="G69" s="120">
        <v>7.4623999999999997</v>
      </c>
      <c r="H69" s="83">
        <v>9.1059000000000001</v>
      </c>
      <c r="I69" s="83">
        <v>0.25430000000000003</v>
      </c>
      <c r="J69" s="83">
        <v>-1.6954</v>
      </c>
      <c r="K69" s="83">
        <v>-30789.063999999998</v>
      </c>
      <c r="L69" s="83">
        <v>1188.658461</v>
      </c>
      <c r="M69" s="83">
        <v>89.43</v>
      </c>
      <c r="N69" s="83">
        <v>-4.7586000000000004</v>
      </c>
      <c r="O69" s="83">
        <v>79.931299999999993</v>
      </c>
      <c r="P69" s="83">
        <v>-26.068000000000001</v>
      </c>
      <c r="Q69" s="83">
        <v>-24.899799999999999</v>
      </c>
      <c r="R69" s="83">
        <v>-15.923</v>
      </c>
      <c r="S69" s="83">
        <v>-55.826000000000001</v>
      </c>
      <c r="T69" s="83">
        <v>22.096</v>
      </c>
      <c r="U69" s="83">
        <v>3.9379</v>
      </c>
      <c r="V69" s="83">
        <v>10.6547</v>
      </c>
      <c r="W69" s="83">
        <v>228.57351</v>
      </c>
      <c r="X69" s="83">
        <v>4.5408299999999997</v>
      </c>
      <c r="Y69" s="83">
        <v>20.584199999999999</v>
      </c>
      <c r="Z69" s="83">
        <v>597.56622000000004</v>
      </c>
      <c r="AA69" s="83">
        <v>-268.44108399999999</v>
      </c>
      <c r="AB69" s="7">
        <v>394.95461</v>
      </c>
    </row>
    <row r="70" spans="2:28">
      <c r="B70" s="62" t="s">
        <v>341</v>
      </c>
      <c r="C70" s="7">
        <v>8.0839999999999995E-2</v>
      </c>
      <c r="D70" s="83">
        <v>-0.626</v>
      </c>
      <c r="E70" s="83">
        <v>98.168999999999997</v>
      </c>
      <c r="F70" s="88">
        <v>-653.66639999999995</v>
      </c>
      <c r="G70" s="120">
        <v>-12.6905</v>
      </c>
      <c r="H70" s="83">
        <v>-13.077999999999999</v>
      </c>
      <c r="I70" s="83">
        <v>-0.626</v>
      </c>
      <c r="J70" s="83">
        <v>0.71218000000000004</v>
      </c>
      <c r="K70" s="83">
        <v>27134.756000000001</v>
      </c>
      <c r="L70" s="83">
        <v>-1836.2468899999999</v>
      </c>
      <c r="M70" s="83">
        <v>-136.99</v>
      </c>
      <c r="N70" s="83">
        <v>7.1601999999999997</v>
      </c>
      <c r="O70" s="83">
        <v>-83.857200000000006</v>
      </c>
      <c r="P70" s="83">
        <v>26.271999999999998</v>
      </c>
      <c r="Q70" s="83">
        <v>41.162500000000001</v>
      </c>
      <c r="R70" s="83">
        <v>18.276</v>
      </c>
      <c r="S70" s="83">
        <v>87.811999999999998</v>
      </c>
      <c r="T70" s="83">
        <v>-27.645</v>
      </c>
      <c r="U70" s="83">
        <v>-5.4588999999999999</v>
      </c>
      <c r="V70" s="83">
        <v>-12.9153</v>
      </c>
      <c r="W70" s="83">
        <v>-384.50447000000003</v>
      </c>
      <c r="X70" s="83">
        <v>-5.0337399999999999</v>
      </c>
      <c r="Y70" s="83">
        <v>-53.124400000000001</v>
      </c>
      <c r="Z70" s="83">
        <v>-900.93831</v>
      </c>
      <c r="AA70" s="83">
        <v>481.62910499999998</v>
      </c>
      <c r="AB70" s="7">
        <v>-601.15377000000001</v>
      </c>
    </row>
    <row r="71" spans="2:28">
      <c r="B71" s="62" t="s">
        <v>342</v>
      </c>
      <c r="C71" s="7">
        <v>2.8029999999999999E-2</v>
      </c>
      <c r="D71" s="83">
        <v>0.2334</v>
      </c>
      <c r="E71" s="83">
        <v>-67.208799999999997</v>
      </c>
      <c r="F71" s="88">
        <v>607.04020000000003</v>
      </c>
      <c r="G71" s="120">
        <v>11.916499999999999</v>
      </c>
      <c r="H71" s="83">
        <v>10.853</v>
      </c>
      <c r="I71" s="83">
        <v>0.2334</v>
      </c>
      <c r="J71" s="83">
        <v>1.2787999999999999</v>
      </c>
      <c r="K71" s="83">
        <v>-14226.379000000001</v>
      </c>
      <c r="L71" s="83">
        <v>1725.5833680000001</v>
      </c>
      <c r="M71" s="83">
        <v>124.69</v>
      </c>
      <c r="N71" s="83">
        <v>-4.9154999999999998</v>
      </c>
      <c r="O71" s="83">
        <v>50.915700000000001</v>
      </c>
      <c r="P71" s="83">
        <v>-14.663</v>
      </c>
      <c r="Q71" s="83">
        <v>-39.875399999999999</v>
      </c>
      <c r="R71" s="83">
        <v>-11.9116</v>
      </c>
      <c r="S71" s="83">
        <v>-83.501599999999996</v>
      </c>
      <c r="T71" s="83">
        <v>19.752400000000002</v>
      </c>
      <c r="U71" s="83">
        <v>4.2336999999999998</v>
      </c>
      <c r="V71" s="83">
        <v>8.8906600000000005</v>
      </c>
      <c r="W71" s="83">
        <v>381.43824999999998</v>
      </c>
      <c r="X71" s="83">
        <v>3.2053600000000002</v>
      </c>
      <c r="Y71" s="83">
        <v>73.247600000000006</v>
      </c>
      <c r="Z71" s="83">
        <v>816.40461000000005</v>
      </c>
      <c r="AA71" s="83">
        <v>-503.89045399999998</v>
      </c>
      <c r="AB71" s="7">
        <v>547.83202000000006</v>
      </c>
    </row>
    <row r="72" spans="2:28">
      <c r="B72" s="62" t="s">
        <v>343</v>
      </c>
      <c r="C72" s="7">
        <v>-9.4640000000000002E-2</v>
      </c>
      <c r="D72" s="83">
        <v>0.42559999999999998</v>
      </c>
      <c r="E72" s="83">
        <v>26.708200000000001</v>
      </c>
      <c r="F72" s="88">
        <v>-346.15199999999999</v>
      </c>
      <c r="G72" s="120">
        <v>-6.1872100000000003</v>
      </c>
      <c r="H72" s="83">
        <v>-5.1269</v>
      </c>
      <c r="I72" s="83">
        <v>0.42559999999999998</v>
      </c>
      <c r="J72" s="83">
        <v>-1.6145</v>
      </c>
      <c r="K72" s="83">
        <v>4438.2154</v>
      </c>
      <c r="L72" s="83">
        <v>-1009.86649</v>
      </c>
      <c r="M72" s="83">
        <v>-69.555999999999997</v>
      </c>
      <c r="N72" s="83">
        <v>1.6324000000000001</v>
      </c>
      <c r="O72" s="83">
        <v>-17.983499999999999</v>
      </c>
      <c r="P72" s="83">
        <v>4.4954000000000001</v>
      </c>
      <c r="Q72" s="83">
        <v>23.177800000000001</v>
      </c>
      <c r="R72" s="83">
        <v>4.4031799999999999</v>
      </c>
      <c r="S72" s="83">
        <v>49.08</v>
      </c>
      <c r="T72" s="83">
        <v>-8.1113</v>
      </c>
      <c r="U72" s="83">
        <v>-1.8653</v>
      </c>
      <c r="V72" s="83">
        <v>-3.5148199999999998</v>
      </c>
      <c r="W72" s="83">
        <v>-228.83783</v>
      </c>
      <c r="X72" s="83">
        <v>-1.1293299999999999</v>
      </c>
      <c r="Y72" s="83">
        <v>-57.654600000000002</v>
      </c>
      <c r="Z72" s="83">
        <v>-455.08341999999999</v>
      </c>
      <c r="AA72" s="83">
        <v>314.81262199999998</v>
      </c>
      <c r="AB72" s="7">
        <v>-305.99691000000001</v>
      </c>
    </row>
    <row r="73" spans="2:28">
      <c r="B73" s="62" t="s">
        <v>344</v>
      </c>
      <c r="C73" s="7">
        <v>4.1790000000000001E-2</v>
      </c>
      <c r="D73" s="83">
        <v>-0.46579999999999999</v>
      </c>
      <c r="E73" s="83">
        <v>-5.7205000000000004</v>
      </c>
      <c r="F73" s="88">
        <v>118.4276</v>
      </c>
      <c r="G73" s="120">
        <v>1.6393899999999999</v>
      </c>
      <c r="H73" s="83">
        <v>1.2583</v>
      </c>
      <c r="I73" s="83">
        <v>-0.46579999999999999</v>
      </c>
      <c r="J73" s="83">
        <v>0.68722000000000005</v>
      </c>
      <c r="K73" s="83">
        <v>-763.07767000000001</v>
      </c>
      <c r="L73" s="83">
        <v>359.59509420000001</v>
      </c>
      <c r="M73" s="83">
        <v>23.32</v>
      </c>
      <c r="N73" s="83">
        <v>-0.25069999999999998</v>
      </c>
      <c r="O73" s="83">
        <v>3.4241299999999999</v>
      </c>
      <c r="P73" s="83">
        <v>-0.6905</v>
      </c>
      <c r="Q73" s="83">
        <v>-7.9563499999999996</v>
      </c>
      <c r="R73" s="83">
        <v>-0.86017999999999994</v>
      </c>
      <c r="S73" s="83">
        <v>-17.434799999999999</v>
      </c>
      <c r="T73" s="83">
        <v>1.7786599999999999</v>
      </c>
      <c r="U73" s="83">
        <v>0.43223</v>
      </c>
      <c r="V73" s="83">
        <v>0.74364300000000005</v>
      </c>
      <c r="W73" s="83">
        <v>81.266580000000005</v>
      </c>
      <c r="X73" s="83">
        <v>0.17405699999999999</v>
      </c>
      <c r="Y73" s="83">
        <v>26.119199999999999</v>
      </c>
      <c r="Z73" s="83">
        <v>152.94024999999999</v>
      </c>
      <c r="AA73" s="83">
        <v>-115.699394</v>
      </c>
      <c r="AB73" s="7">
        <v>102.38656</v>
      </c>
    </row>
    <row r="74" spans="2:28">
      <c r="B74" s="62" t="s">
        <v>345</v>
      </c>
      <c r="C74" s="7">
        <v>-5.7099999999999998E-3</v>
      </c>
      <c r="D74" s="83">
        <v>0.16500000000000001</v>
      </c>
      <c r="E74" s="83">
        <v>0.51114999999999999</v>
      </c>
      <c r="F74" s="88">
        <v>-22.278099999999998</v>
      </c>
      <c r="G74" s="120">
        <v>-0.17266699999999999</v>
      </c>
      <c r="H74" s="83">
        <v>-0.12395</v>
      </c>
      <c r="I74" s="83">
        <v>0.16500000000000001</v>
      </c>
      <c r="J74" s="83">
        <v>-0.10501000000000001</v>
      </c>
      <c r="K74" s="83">
        <v>55.796591999999997</v>
      </c>
      <c r="L74" s="83">
        <v>-71.3117819</v>
      </c>
      <c r="M74" s="83">
        <v>-4.3135000000000003</v>
      </c>
      <c r="N74" s="83">
        <v>1.3100000000000001E-2</v>
      </c>
      <c r="O74" s="83">
        <v>-0.27133000000000002</v>
      </c>
      <c r="P74" s="83">
        <v>3.9699999999999999E-2</v>
      </c>
      <c r="Q74" s="83">
        <v>1.4880599999999999</v>
      </c>
      <c r="R74" s="83">
        <v>6.8507999999999999E-2</v>
      </c>
      <c r="S74" s="83">
        <v>3.4277000000000002</v>
      </c>
      <c r="T74" s="83">
        <v>-0.16172</v>
      </c>
      <c r="U74" s="83">
        <v>-4.1207000000000001E-2</v>
      </c>
      <c r="V74" s="83">
        <v>-6.5788399999999997E-2</v>
      </c>
      <c r="W74" s="83">
        <v>-15.69097</v>
      </c>
      <c r="X74" s="83">
        <v>-3.8151000000000001E-3</v>
      </c>
      <c r="Y74" s="83">
        <v>-6.3479000000000001</v>
      </c>
      <c r="Z74" s="83">
        <v>-28.451163000000001</v>
      </c>
      <c r="AA74" s="83">
        <v>23.095711900000001</v>
      </c>
      <c r="AB74" s="7">
        <v>-18.810237000000001</v>
      </c>
    </row>
    <row r="75" spans="2:28">
      <c r="B75" s="62" t="s">
        <v>346</v>
      </c>
      <c r="C75" s="7">
        <v>0</v>
      </c>
      <c r="D75" s="83">
        <v>-1.9900000000000001E-2</v>
      </c>
      <c r="E75" s="83">
        <v>0</v>
      </c>
      <c r="F75" s="88">
        <v>1.770187</v>
      </c>
      <c r="G75" s="120">
        <v>0</v>
      </c>
      <c r="H75" s="83">
        <v>0</v>
      </c>
      <c r="I75" s="83">
        <v>-1.9900000000000001E-2</v>
      </c>
      <c r="J75" s="83">
        <v>0</v>
      </c>
      <c r="K75" s="83">
        <v>0</v>
      </c>
      <c r="L75" s="83">
        <v>6.0392462760000001</v>
      </c>
      <c r="M75" s="83">
        <v>0.33828999999999998</v>
      </c>
      <c r="N75" s="83">
        <v>0</v>
      </c>
      <c r="O75" s="83">
        <v>0</v>
      </c>
      <c r="P75" s="83">
        <v>0</v>
      </c>
      <c r="Q75" s="83">
        <v>-0.11701</v>
      </c>
      <c r="R75" s="83">
        <v>0</v>
      </c>
      <c r="S75" s="83">
        <v>-0.28621999999999997</v>
      </c>
      <c r="T75" s="83">
        <v>0</v>
      </c>
      <c r="U75" s="83">
        <v>0</v>
      </c>
      <c r="V75" s="83">
        <v>0</v>
      </c>
      <c r="W75" s="83">
        <v>1.26814</v>
      </c>
      <c r="X75" s="83">
        <v>0</v>
      </c>
      <c r="Y75" s="83">
        <v>0.64033099999999998</v>
      </c>
      <c r="Z75" s="83">
        <v>2.2516243999999999</v>
      </c>
      <c r="AA75" s="83">
        <v>-1.93361717</v>
      </c>
      <c r="AB75" s="7">
        <v>1.4576882</v>
      </c>
    </row>
    <row r="76" spans="2:28">
      <c r="B76" s="62" t="s">
        <v>347</v>
      </c>
      <c r="C76" s="7">
        <v>1</v>
      </c>
      <c r="D76" s="7">
        <v>1</v>
      </c>
      <c r="E76" s="7">
        <v>4</v>
      </c>
      <c r="F76" s="89">
        <v>4</v>
      </c>
      <c r="G76" s="89">
        <v>1</v>
      </c>
      <c r="H76" s="90">
        <v>1</v>
      </c>
      <c r="I76" s="90">
        <v>1</v>
      </c>
      <c r="J76" s="90">
        <v>1</v>
      </c>
      <c r="K76" s="90">
        <v>20</v>
      </c>
      <c r="L76" s="90">
        <v>5</v>
      </c>
      <c r="M76" s="90">
        <v>4</v>
      </c>
      <c r="N76" s="90">
        <v>1</v>
      </c>
      <c r="O76" s="90">
        <v>1</v>
      </c>
      <c r="P76" s="90">
        <v>10</v>
      </c>
      <c r="Q76" s="90">
        <v>12</v>
      </c>
      <c r="R76" s="90">
        <v>4</v>
      </c>
      <c r="S76" s="90">
        <v>4</v>
      </c>
      <c r="T76" s="90">
        <v>4</v>
      </c>
      <c r="U76" s="90">
        <v>4</v>
      </c>
      <c r="V76" s="90">
        <v>4</v>
      </c>
      <c r="W76" s="90">
        <v>4</v>
      </c>
      <c r="X76" s="90">
        <v>5</v>
      </c>
      <c r="Y76" s="90">
        <v>2</v>
      </c>
      <c r="Z76" s="90">
        <v>5</v>
      </c>
      <c r="AA76" s="90">
        <v>4</v>
      </c>
      <c r="AB76" s="90">
        <v>4</v>
      </c>
    </row>
    <row r="77" spans="2:28">
      <c r="B77" s="62" t="s">
        <v>348</v>
      </c>
      <c r="C77" s="7">
        <v>300</v>
      </c>
      <c r="D77" s="7">
        <v>300</v>
      </c>
      <c r="E77" s="7">
        <v>300</v>
      </c>
      <c r="F77" s="89">
        <v>300</v>
      </c>
      <c r="G77" s="89">
        <v>300</v>
      </c>
      <c r="H77" s="90">
        <v>300</v>
      </c>
      <c r="I77" s="90">
        <v>300</v>
      </c>
      <c r="J77" s="90">
        <v>120</v>
      </c>
      <c r="K77" s="90">
        <v>300</v>
      </c>
      <c r="L77" s="90">
        <v>200</v>
      </c>
      <c r="M77" s="90">
        <v>300</v>
      </c>
      <c r="N77" s="90">
        <v>300</v>
      </c>
      <c r="O77" s="90">
        <v>300</v>
      </c>
      <c r="P77" s="90">
        <v>300</v>
      </c>
      <c r="Q77" s="90">
        <v>300</v>
      </c>
      <c r="R77" s="90">
        <v>300</v>
      </c>
      <c r="S77" s="90">
        <v>300</v>
      </c>
      <c r="T77" s="90">
        <v>300</v>
      </c>
      <c r="U77" s="90">
        <v>300</v>
      </c>
      <c r="V77" s="90">
        <v>300</v>
      </c>
      <c r="W77" s="90">
        <v>300</v>
      </c>
      <c r="X77" s="90">
        <v>110</v>
      </c>
      <c r="Y77" s="90">
        <v>80</v>
      </c>
      <c r="Z77" s="90">
        <v>295</v>
      </c>
      <c r="AA77" s="90">
        <v>295</v>
      </c>
      <c r="AB77" s="90">
        <v>295</v>
      </c>
    </row>
    <row r="78" spans="2:28">
      <c r="B78" s="79" t="s">
        <v>357</v>
      </c>
      <c r="C78" s="77">
        <v>0.5</v>
      </c>
      <c r="D78" s="90">
        <v>2</v>
      </c>
      <c r="E78" s="90">
        <v>2</v>
      </c>
      <c r="F78" s="89">
        <v>2</v>
      </c>
      <c r="G78" s="89">
        <v>2</v>
      </c>
      <c r="H78" s="90">
        <v>2</v>
      </c>
      <c r="I78" s="90">
        <v>2</v>
      </c>
      <c r="J78" s="90">
        <v>2</v>
      </c>
      <c r="K78" s="90">
        <v>2</v>
      </c>
      <c r="L78" s="90">
        <v>2.5</v>
      </c>
      <c r="M78" s="7"/>
      <c r="N78" s="90">
        <v>2</v>
      </c>
      <c r="O78" s="90">
        <v>2</v>
      </c>
      <c r="P78" s="90">
        <v>5</v>
      </c>
      <c r="Q78" s="90">
        <v>5</v>
      </c>
      <c r="R78" s="90">
        <v>2</v>
      </c>
      <c r="S78" s="90">
        <v>2</v>
      </c>
      <c r="T78" s="90">
        <v>2</v>
      </c>
      <c r="U78" s="90">
        <v>2</v>
      </c>
      <c r="V78" s="90">
        <v>2</v>
      </c>
      <c r="W78" s="90">
        <v>3</v>
      </c>
      <c r="X78" s="90">
        <v>1.5</v>
      </c>
      <c r="Y78" s="90">
        <v>1</v>
      </c>
      <c r="Z78" s="90">
        <v>2</v>
      </c>
      <c r="AA78" s="90">
        <v>3</v>
      </c>
      <c r="AB78" s="90">
        <v>2</v>
      </c>
    </row>
    <row r="79" spans="2:28" ht="13.5" thickBot="1">
      <c r="B79" s="85"/>
      <c r="C79" s="85"/>
      <c r="D79" s="87"/>
      <c r="E79" s="87"/>
      <c r="F79" s="86"/>
      <c r="G79" s="86"/>
      <c r="H79" s="87"/>
      <c r="I79" s="87"/>
      <c r="J79" s="87"/>
      <c r="K79" s="87"/>
      <c r="L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</row>
    <row r="80" spans="2:28" ht="32.25" thickBot="1">
      <c r="B80" s="118" t="s">
        <v>466</v>
      </c>
      <c r="C80" s="119">
        <v>120</v>
      </c>
    </row>
    <row r="81" spans="2:28" ht="13.5" thickBot="1">
      <c r="B81" t="s">
        <v>352</v>
      </c>
      <c r="C81">
        <f>LOG10(C80)</f>
        <v>2.0791812460476247</v>
      </c>
    </row>
    <row r="82" spans="2:28" ht="35.25" customHeight="1" thickBot="1">
      <c r="B82" s="117" t="s">
        <v>610</v>
      </c>
      <c r="C82" s="115">
        <f t="shared" ref="C82:AB82" si="0">IF(AND($C$80&gt;=C$76,$C$80&lt;=C$77),10^(C$67+$C$81*(C$68+$C$81*(C$69+$C$81*(C$70+$C$81*(C$71+$C$81*(C$72+$C$81*(C$73+$C$81*(C$74+$C$81*C$75)))))))),"Out of Range")</f>
        <v>107.86566776871324</v>
      </c>
      <c r="D82" s="115">
        <f t="shared" si="0"/>
        <v>10.101280780449096</v>
      </c>
      <c r="E82" s="115">
        <f t="shared" si="0"/>
        <v>7.5874238670457501</v>
      </c>
      <c r="F82" s="115">
        <f t="shared" si="0"/>
        <v>231.45541136079959</v>
      </c>
      <c r="G82" s="115">
        <f t="shared" si="0"/>
        <v>151.87380338356195</v>
      </c>
      <c r="H82" s="115">
        <f t="shared" si="0"/>
        <v>7.5435857219891576</v>
      </c>
      <c r="I82" s="115">
        <f t="shared" si="0"/>
        <v>10.101280780449096</v>
      </c>
      <c r="J82" s="115">
        <f t="shared" si="0"/>
        <v>43.11794993617621</v>
      </c>
      <c r="K82" s="115">
        <f t="shared" si="0"/>
        <v>4.0611496673328658</v>
      </c>
      <c r="L82" s="115">
        <f t="shared" si="0"/>
        <v>1.8161919520033842</v>
      </c>
      <c r="M82" s="115">
        <f t="shared" si="0"/>
        <v>0.25045525200035057</v>
      </c>
      <c r="N82" s="115">
        <f t="shared" si="0"/>
        <v>0.32980976875540413</v>
      </c>
      <c r="O82" s="115">
        <f t="shared" si="0"/>
        <v>0.15219361131075201</v>
      </c>
      <c r="P82" s="115">
        <f t="shared" si="0"/>
        <v>0.33473368463514358</v>
      </c>
      <c r="Q82" s="115">
        <f t="shared" si="0"/>
        <v>0.49782931163533711</v>
      </c>
      <c r="R82" s="115">
        <f t="shared" si="0"/>
        <v>8.7023833991200981</v>
      </c>
      <c r="S82" s="115">
        <f t="shared" si="0"/>
        <v>28.137258268388347</v>
      </c>
      <c r="T82" s="115">
        <f t="shared" si="0"/>
        <v>24.01206584299176</v>
      </c>
      <c r="U82" s="115">
        <f t="shared" si="0"/>
        <v>21.189414504130767</v>
      </c>
      <c r="V82" s="115">
        <f t="shared" si="0"/>
        <v>18.088318511228582</v>
      </c>
      <c r="W82" s="115">
        <f t="shared" si="0"/>
        <v>156.83621975190954</v>
      </c>
      <c r="X82" s="115" t="str">
        <f t="shared" si="0"/>
        <v>Out of Range</v>
      </c>
      <c r="Y82" s="115" t="str">
        <f t="shared" si="0"/>
        <v>Out of Range</v>
      </c>
      <c r="Z82" s="115">
        <f t="shared" si="0"/>
        <v>36.031674952017866</v>
      </c>
      <c r="AA82" s="116">
        <f t="shared" si="0"/>
        <v>73.35575811125311</v>
      </c>
      <c r="AB82" s="116">
        <f t="shared" si="0"/>
        <v>201.79978360642116</v>
      </c>
    </row>
    <row r="83" spans="2:28">
      <c r="C83">
        <f>C82/1000</f>
        <v>0.10786566776871323</v>
      </c>
      <c r="D83">
        <f t="shared" ref="D83:AB83" si="1">D82/1000</f>
        <v>1.0101280780449097E-2</v>
      </c>
      <c r="E83">
        <f t="shared" si="1"/>
        <v>7.5874238670457497E-3</v>
      </c>
      <c r="F83">
        <f t="shared" si="1"/>
        <v>0.23145541136079958</v>
      </c>
      <c r="G83">
        <f t="shared" si="1"/>
        <v>0.15187380338356196</v>
      </c>
      <c r="H83">
        <f t="shared" si="1"/>
        <v>7.5435857219891579E-3</v>
      </c>
      <c r="I83">
        <f t="shared" si="1"/>
        <v>1.0101280780449097E-2</v>
      </c>
      <c r="J83">
        <f t="shared" si="1"/>
        <v>4.3117949936176209E-2</v>
      </c>
      <c r="K83">
        <f t="shared" si="1"/>
        <v>4.0611496673328661E-3</v>
      </c>
      <c r="L83">
        <f t="shared" si="1"/>
        <v>1.8161919520033843E-3</v>
      </c>
      <c r="M83">
        <f t="shared" si="1"/>
        <v>2.5045525200035056E-4</v>
      </c>
      <c r="N83">
        <f t="shared" si="1"/>
        <v>3.2980976875540414E-4</v>
      </c>
      <c r="O83">
        <f t="shared" si="1"/>
        <v>1.52193611310752E-4</v>
      </c>
      <c r="P83">
        <f t="shared" si="1"/>
        <v>3.3473368463514359E-4</v>
      </c>
      <c r="Q83">
        <f t="shared" si="1"/>
        <v>4.9782931163533709E-4</v>
      </c>
      <c r="R83">
        <f t="shared" si="1"/>
        <v>8.7023833991200974E-3</v>
      </c>
      <c r="S83">
        <f t="shared" si="1"/>
        <v>2.8137258268388348E-2</v>
      </c>
      <c r="T83">
        <f t="shared" si="1"/>
        <v>2.4012065842991759E-2</v>
      </c>
      <c r="U83">
        <f t="shared" si="1"/>
        <v>2.1189414504130765E-2</v>
      </c>
      <c r="V83">
        <f t="shared" si="1"/>
        <v>1.8088318511228583E-2</v>
      </c>
      <c r="W83">
        <f t="shared" si="1"/>
        <v>0.15683621975190953</v>
      </c>
      <c r="X83" t="e">
        <f t="shared" si="1"/>
        <v>#VALUE!</v>
      </c>
      <c r="Y83" t="e">
        <f t="shared" si="1"/>
        <v>#VALUE!</v>
      </c>
      <c r="Z83">
        <f t="shared" si="1"/>
        <v>3.6031674952017867E-2</v>
      </c>
      <c r="AA83">
        <f t="shared" si="1"/>
        <v>7.3355758111253111E-2</v>
      </c>
      <c r="AB83">
        <f t="shared" si="1"/>
        <v>0.20179978360642115</v>
      </c>
    </row>
    <row r="86" spans="2:28">
      <c r="B86" s="202" t="s">
        <v>611</v>
      </c>
      <c r="C86" s="38"/>
      <c r="D86" s="38"/>
      <c r="E86" s="38"/>
      <c r="F86" s="38"/>
      <c r="G86" s="38"/>
      <c r="H86" s="38"/>
      <c r="I86" s="37"/>
    </row>
    <row r="87" spans="2:28" ht="25.5">
      <c r="B87" s="76" t="s">
        <v>337</v>
      </c>
      <c r="C87" s="125" t="s">
        <v>354</v>
      </c>
    </row>
    <row r="88" spans="2:28">
      <c r="B88" s="120" t="s">
        <v>339</v>
      </c>
      <c r="C88" s="124">
        <v>2.2153999999999998</v>
      </c>
    </row>
    <row r="89" spans="2:28">
      <c r="B89" s="120" t="s">
        <v>340</v>
      </c>
      <c r="C89" s="121">
        <v>-0.47460999999999998</v>
      </c>
    </row>
    <row r="90" spans="2:28">
      <c r="B90" s="120" t="s">
        <v>349</v>
      </c>
      <c r="C90" s="121">
        <v>-0.88068000000000002</v>
      </c>
    </row>
    <row r="91" spans="2:28">
      <c r="B91" s="120" t="s">
        <v>341</v>
      </c>
      <c r="C91" s="121">
        <v>0.13871</v>
      </c>
    </row>
    <row r="92" spans="2:28">
      <c r="B92" s="120" t="s">
        <v>342</v>
      </c>
      <c r="C92" s="121">
        <v>0.29504999999999998</v>
      </c>
    </row>
    <row r="93" spans="2:28">
      <c r="B93" s="120" t="s">
        <v>343</v>
      </c>
      <c r="C93" s="121">
        <v>-2.043E-2</v>
      </c>
    </row>
    <row r="94" spans="2:28">
      <c r="B94" s="120" t="s">
        <v>344</v>
      </c>
      <c r="C94" s="121">
        <v>-4.8309999999999999E-2</v>
      </c>
    </row>
    <row r="95" spans="2:28">
      <c r="B95" s="120" t="s">
        <v>345</v>
      </c>
      <c r="C95" s="121">
        <v>1.281E-3</v>
      </c>
    </row>
    <row r="96" spans="2:28">
      <c r="B96" s="120" t="s">
        <v>346</v>
      </c>
      <c r="C96" s="121">
        <v>3.2070000000000002E-3</v>
      </c>
    </row>
    <row r="97" spans="2:4">
      <c r="B97" s="62" t="s">
        <v>347</v>
      </c>
      <c r="C97" s="7">
        <v>4</v>
      </c>
    </row>
    <row r="98" spans="2:4">
      <c r="B98" s="62" t="s">
        <v>348</v>
      </c>
      <c r="C98" s="7">
        <v>300</v>
      </c>
    </row>
    <row r="99" spans="2:4" ht="13.5" thickBot="1"/>
    <row r="100" spans="2:4" ht="32.25" thickBot="1">
      <c r="B100" s="118" t="s">
        <v>466</v>
      </c>
      <c r="C100" s="119">
        <v>120</v>
      </c>
    </row>
    <row r="101" spans="2:4" ht="13.5" thickBot="1"/>
    <row r="102" spans="2:4" ht="32.25" thickBot="1">
      <c r="B102" s="117" t="s">
        <v>610</v>
      </c>
      <c r="C102" s="177">
        <f>IF(AND(C100&gt;=C97, C100&lt;=C98),10^((C88+C90*SQRT(C100)+C92*C100+C94*C100^1.5+C96*C100^2)/(1+C89*SQRT(C100)+C91*C100+C93*C100^1.5+C95*C100^2)), "Out of Range")</f>
        <v>434.8086444452868</v>
      </c>
    </row>
    <row r="103" spans="2:4">
      <c r="C103">
        <f>C102/1000</f>
        <v>0.43480864444528683</v>
      </c>
    </row>
    <row r="105" spans="2:4">
      <c r="B105" s="275" t="s">
        <v>612</v>
      </c>
      <c r="C105" s="276"/>
      <c r="D105" s="277"/>
    </row>
    <row r="106" spans="2:4">
      <c r="B106" s="76" t="s">
        <v>337</v>
      </c>
      <c r="C106" s="76" t="s">
        <v>518</v>
      </c>
    </row>
    <row r="107" spans="2:4">
      <c r="B107" s="7" t="s">
        <v>339</v>
      </c>
      <c r="C107" s="7">
        <v>0.16834191277371</v>
      </c>
    </row>
    <row r="108" spans="2:4">
      <c r="B108" s="7" t="s">
        <v>340</v>
      </c>
      <c r="C108" s="7">
        <v>7.6773005752999997E-4</v>
      </c>
    </row>
    <row r="109" spans="2:4" ht="12" customHeight="1">
      <c r="B109" s="7" t="s">
        <v>349</v>
      </c>
      <c r="C109" s="7">
        <v>-1.8319183600000001E-6</v>
      </c>
    </row>
    <row r="110" spans="2:4" ht="12" customHeight="1">
      <c r="B110" s="7" t="s">
        <v>347</v>
      </c>
      <c r="C110" s="7">
        <v>95</v>
      </c>
    </row>
    <row r="111" spans="2:4" ht="12" customHeight="1">
      <c r="B111" s="7" t="s">
        <v>348</v>
      </c>
      <c r="C111" s="7">
        <v>202</v>
      </c>
    </row>
    <row r="112" spans="2:4" ht="12" customHeight="1" thickBot="1"/>
    <row r="113" spans="2:4" ht="32.25" thickBot="1">
      <c r="B113" s="118" t="s">
        <v>466</v>
      </c>
      <c r="C113" s="119">
        <v>202</v>
      </c>
    </row>
    <row r="114" spans="2:4" ht="16.5" thickBot="1">
      <c r="B114" s="176"/>
      <c r="C114" s="175"/>
    </row>
    <row r="115" spans="2:4" ht="32.25" thickBot="1">
      <c r="B115" s="117" t="s">
        <v>610</v>
      </c>
      <c r="C115" s="177">
        <f>IF(AND(C113&gt;=C110, C113&lt;=C111),C107+C108*C113+C109*C113^2, "Out of Range")</f>
        <v>0.24867378763332998</v>
      </c>
    </row>
    <row r="116" spans="2:4" ht="15.75">
      <c r="B116" s="176"/>
      <c r="C116" s="185"/>
    </row>
    <row r="117" spans="2:4" ht="15.75">
      <c r="B117" s="176"/>
      <c r="C117" s="185"/>
    </row>
    <row r="118" spans="2:4">
      <c r="B118" s="271" t="s">
        <v>613</v>
      </c>
      <c r="C118" s="270"/>
      <c r="D118" s="270"/>
    </row>
    <row r="119" spans="2:4">
      <c r="B119" s="92" t="s">
        <v>537</v>
      </c>
      <c r="C119" s="186" t="s">
        <v>4</v>
      </c>
      <c r="D119" s="186" t="s">
        <v>4</v>
      </c>
    </row>
    <row r="120" spans="2:4">
      <c r="B120" s="92" t="s">
        <v>339</v>
      </c>
      <c r="C120" s="7">
        <v>-1.3286047221703801</v>
      </c>
      <c r="D120" s="7">
        <v>254.3923347087516</v>
      </c>
    </row>
    <row r="121" spans="2:4">
      <c r="B121" s="92" t="s">
        <v>340</v>
      </c>
      <c r="C121" s="7">
        <v>3.9232817801689701</v>
      </c>
      <c r="D121" s="7">
        <v>2.048005455762</v>
      </c>
    </row>
    <row r="122" spans="2:4">
      <c r="B122" s="92" t="s">
        <v>349</v>
      </c>
      <c r="C122" s="7">
        <v>7.9561708640000003E-3</v>
      </c>
      <c r="D122" s="7">
        <v>-1.4879150335000001E-2</v>
      </c>
    </row>
    <row r="123" spans="2:4">
      <c r="B123" s="92" t="s">
        <v>341</v>
      </c>
      <c r="C123" s="7">
        <v>-1.4795874909E-4</v>
      </c>
      <c r="D123" s="7">
        <v>2.4576462E-5</v>
      </c>
    </row>
    <row r="124" spans="2:4">
      <c r="B124" s="92" t="s">
        <v>347</v>
      </c>
      <c r="C124" s="187">
        <v>5</v>
      </c>
      <c r="D124" s="188">
        <v>120</v>
      </c>
    </row>
    <row r="125" spans="2:4">
      <c r="B125" s="92" t="s">
        <v>348</v>
      </c>
      <c r="C125" s="187">
        <v>120</v>
      </c>
      <c r="D125" s="188">
        <v>320</v>
      </c>
    </row>
    <row r="126" spans="2:4" ht="16.5" thickBot="1">
      <c r="B126" s="176"/>
      <c r="C126" s="185"/>
    </row>
    <row r="127" spans="2:4" ht="32.25" thickBot="1">
      <c r="B127" s="118" t="s">
        <v>466</v>
      </c>
      <c r="C127" s="119">
        <v>300</v>
      </c>
    </row>
    <row r="128" spans="2:4" ht="16.5" thickBot="1">
      <c r="B128" s="176"/>
      <c r="C128" s="175"/>
    </row>
    <row r="129" spans="2:26" ht="32.25" thickBot="1">
      <c r="B129" s="117" t="s">
        <v>610</v>
      </c>
      <c r="C129" s="177" t="str">
        <f>IF(AND($C$127&gt;=C$124, $C$127&lt;C$125),C$120+C$121*$C$127+C$122*$C$127^2+C$123*$C$127^3, "Out of Range")</f>
        <v>Out of Range</v>
      </c>
      <c r="D129" s="177">
        <f>IF(AND($C$127&gt;=D$124, $C$127&lt;=D$125),D$120+D$121*$C$127+D$122*$C$127^2+D$123*$C$127^3, "Out of Range")</f>
        <v>193.23491528735155</v>
      </c>
    </row>
    <row r="130" spans="2:26">
      <c r="C130" t="e">
        <f>C129/1000</f>
        <v>#VALUE!</v>
      </c>
      <c r="D130">
        <f>D129/1000</f>
        <v>0.19323491528735157</v>
      </c>
    </row>
    <row r="132" spans="2:26">
      <c r="B132" s="270" t="s">
        <v>550</v>
      </c>
      <c r="C132" s="270"/>
      <c r="F132" s="270" t="s">
        <v>570</v>
      </c>
      <c r="G132" s="270"/>
      <c r="I132" s="270" t="s">
        <v>571</v>
      </c>
      <c r="J132" s="270"/>
      <c r="L132" s="270" t="s">
        <v>578</v>
      </c>
      <c r="M132" s="270"/>
      <c r="O132" s="270" t="s">
        <v>615</v>
      </c>
      <c r="P132" s="270"/>
      <c r="R132" s="270" t="s">
        <v>619</v>
      </c>
      <c r="S132" s="270"/>
      <c r="U132" s="271" t="s">
        <v>621</v>
      </c>
      <c r="V132" s="270"/>
      <c r="X132" s="272" t="s">
        <v>637</v>
      </c>
      <c r="Y132" s="273"/>
      <c r="Z132" s="274"/>
    </row>
    <row r="133" spans="2:26">
      <c r="B133" s="62" t="s">
        <v>330</v>
      </c>
      <c r="C133" s="62" t="s">
        <v>608</v>
      </c>
      <c r="F133" s="62" t="s">
        <v>330</v>
      </c>
      <c r="G133" s="62" t="s">
        <v>608</v>
      </c>
      <c r="I133" s="62" t="s">
        <v>330</v>
      </c>
      <c r="J133" s="62" t="s">
        <v>608</v>
      </c>
      <c r="L133" s="62" t="s">
        <v>330</v>
      </c>
      <c r="M133" s="62" t="s">
        <v>608</v>
      </c>
      <c r="O133" s="62" t="s">
        <v>330</v>
      </c>
      <c r="P133" s="62" t="s">
        <v>608</v>
      </c>
      <c r="R133" s="62" t="s">
        <v>330</v>
      </c>
      <c r="S133" s="62" t="s">
        <v>608</v>
      </c>
      <c r="U133" s="62" t="s">
        <v>330</v>
      </c>
      <c r="V133" s="62" t="s">
        <v>608</v>
      </c>
      <c r="X133" s="62" t="s">
        <v>330</v>
      </c>
      <c r="Y133" s="62" t="s">
        <v>608</v>
      </c>
      <c r="Z133" s="79" t="s">
        <v>636</v>
      </c>
    </row>
    <row r="134" spans="2:26">
      <c r="B134" s="7">
        <v>1</v>
      </c>
      <c r="C134" s="7">
        <v>986</v>
      </c>
      <c r="F134" s="7">
        <v>173</v>
      </c>
      <c r="G134" s="7">
        <v>726.17610540740384</v>
      </c>
      <c r="I134" s="7">
        <v>173</v>
      </c>
      <c r="J134" s="7">
        <v>737.8859624092637</v>
      </c>
      <c r="L134" s="75">
        <v>4.7297297297297263</v>
      </c>
      <c r="M134" s="47">
        <v>1.8987341772152035</v>
      </c>
      <c r="O134" s="172">
        <v>1</v>
      </c>
      <c r="P134" s="7">
        <v>6.93</v>
      </c>
      <c r="R134" s="7">
        <v>1</v>
      </c>
      <c r="S134" s="7">
        <v>3.9</v>
      </c>
      <c r="U134" s="47">
        <v>1</v>
      </c>
      <c r="V134" s="7">
        <v>181</v>
      </c>
      <c r="X134" s="172">
        <v>1</v>
      </c>
      <c r="Y134" s="7">
        <v>4020</v>
      </c>
      <c r="Z134" s="7" t="s">
        <v>635</v>
      </c>
    </row>
    <row r="135" spans="2:26">
      <c r="B135" s="7">
        <v>2</v>
      </c>
      <c r="C135" s="7">
        <v>1960</v>
      </c>
      <c r="F135" s="7">
        <v>217</v>
      </c>
      <c r="G135" s="7">
        <v>299.3117188466021</v>
      </c>
      <c r="I135" s="7">
        <v>217</v>
      </c>
      <c r="J135" s="7">
        <v>365.68121605565966</v>
      </c>
      <c r="L135" s="75">
        <v>7.0945945945945894</v>
      </c>
      <c r="M135" s="47">
        <v>2.5316455696202524</v>
      </c>
      <c r="O135" s="172">
        <v>2</v>
      </c>
      <c r="P135" s="7">
        <v>45.4</v>
      </c>
      <c r="R135" s="7">
        <v>5</v>
      </c>
      <c r="S135" s="7">
        <v>410</v>
      </c>
      <c r="U135" s="47">
        <v>2</v>
      </c>
      <c r="V135" s="7">
        <v>362</v>
      </c>
      <c r="X135" s="172">
        <v>2</v>
      </c>
      <c r="Y135" s="7">
        <v>6490</v>
      </c>
      <c r="Z135" s="7" t="s">
        <v>635</v>
      </c>
    </row>
    <row r="136" spans="2:26">
      <c r="B136" s="7">
        <v>3</v>
      </c>
      <c r="C136" s="7">
        <v>2900</v>
      </c>
      <c r="F136" s="7">
        <v>271</v>
      </c>
      <c r="G136" s="7">
        <v>187.19816002181432</v>
      </c>
      <c r="I136" s="7">
        <v>271</v>
      </c>
      <c r="J136" s="7">
        <v>242.54106482363321</v>
      </c>
      <c r="L136" s="75">
        <v>9.932432432432428</v>
      </c>
      <c r="M136" s="47">
        <v>4.430379746835456</v>
      </c>
      <c r="O136" s="172">
        <v>3</v>
      </c>
      <c r="P136" s="7">
        <v>138</v>
      </c>
      <c r="R136" s="7">
        <v>10</v>
      </c>
      <c r="S136" s="7">
        <v>2900</v>
      </c>
      <c r="U136" s="47">
        <v>3</v>
      </c>
      <c r="V136" s="7">
        <v>542</v>
      </c>
      <c r="X136" s="172">
        <v>3</v>
      </c>
      <c r="Y136" s="7">
        <v>6400</v>
      </c>
      <c r="Z136" s="7" t="s">
        <v>635</v>
      </c>
    </row>
    <row r="137" spans="2:26">
      <c r="B137" s="7">
        <v>4</v>
      </c>
      <c r="C137" s="7">
        <v>3760</v>
      </c>
      <c r="F137" s="7">
        <v>320</v>
      </c>
      <c r="G137" s="7">
        <v>154.12269296721314</v>
      </c>
      <c r="I137" s="7">
        <v>320</v>
      </c>
      <c r="J137" s="7">
        <v>203.02341076491982</v>
      </c>
      <c r="L137" s="75">
        <v>14.662162162162154</v>
      </c>
      <c r="M137" s="47">
        <v>12.025316455696213</v>
      </c>
      <c r="O137" s="172">
        <v>4</v>
      </c>
      <c r="P137" s="7">
        <v>297</v>
      </c>
      <c r="R137" s="7">
        <v>15</v>
      </c>
      <c r="S137" s="7">
        <v>8700</v>
      </c>
      <c r="U137" s="47">
        <v>4</v>
      </c>
      <c r="V137" s="7">
        <v>723</v>
      </c>
      <c r="X137" s="172">
        <v>4</v>
      </c>
      <c r="Y137" s="7">
        <v>4960</v>
      </c>
      <c r="Z137" s="7" t="s">
        <v>635</v>
      </c>
    </row>
    <row r="138" spans="2:26">
      <c r="B138" s="7">
        <v>5</v>
      </c>
      <c r="C138" s="7">
        <v>4500</v>
      </c>
      <c r="F138" s="7">
        <v>407</v>
      </c>
      <c r="G138" s="7">
        <v>125.44327239821055</v>
      </c>
      <c r="I138" s="7">
        <v>406</v>
      </c>
      <c r="J138" s="7">
        <v>152.3124510245577</v>
      </c>
      <c r="L138" s="75">
        <v>19.864864864864863</v>
      </c>
      <c r="M138" s="47">
        <v>20.25316455696202</v>
      </c>
      <c r="O138" s="172">
        <v>5</v>
      </c>
      <c r="P138" s="7">
        <v>527</v>
      </c>
      <c r="R138" s="7">
        <v>20</v>
      </c>
      <c r="S138" s="7">
        <v>15700</v>
      </c>
      <c r="U138" s="47">
        <v>5</v>
      </c>
      <c r="V138" s="7">
        <v>904</v>
      </c>
      <c r="X138" s="172">
        <v>5</v>
      </c>
      <c r="Y138" s="7">
        <v>3240</v>
      </c>
      <c r="Z138" s="7" t="s">
        <v>635</v>
      </c>
    </row>
    <row r="139" spans="2:26">
      <c r="B139" s="7">
        <v>6</v>
      </c>
      <c r="C139" s="7">
        <v>5080</v>
      </c>
      <c r="F139" s="7">
        <v>479</v>
      </c>
      <c r="G139" s="7">
        <v>109.47418090078655</v>
      </c>
      <c r="I139" s="7">
        <v>477</v>
      </c>
      <c r="J139" s="7">
        <v>131.1805919165335</v>
      </c>
      <c r="L139" s="75">
        <v>30.270270270270267</v>
      </c>
      <c r="M139" s="47">
        <v>43.670886075949397</v>
      </c>
      <c r="O139" s="172">
        <v>6</v>
      </c>
      <c r="P139" s="7">
        <v>823</v>
      </c>
      <c r="R139" s="7">
        <v>25</v>
      </c>
      <c r="S139" s="7">
        <v>20200</v>
      </c>
      <c r="U139" s="47">
        <v>6</v>
      </c>
      <c r="V139" s="7">
        <v>1080</v>
      </c>
      <c r="X139" s="172">
        <v>6</v>
      </c>
      <c r="Y139" s="7">
        <v>2070</v>
      </c>
      <c r="Z139" s="7" t="s">
        <v>635</v>
      </c>
    </row>
    <row r="140" spans="2:26">
      <c r="B140" s="7">
        <v>7</v>
      </c>
      <c r="C140" s="7">
        <v>5470</v>
      </c>
      <c r="F140" s="7">
        <v>579</v>
      </c>
      <c r="G140" s="7">
        <v>91.757931736959947</v>
      </c>
      <c r="I140" s="7">
        <v>576</v>
      </c>
      <c r="J140" s="7">
        <v>107.93937981216526</v>
      </c>
      <c r="L140" s="75">
        <v>39.729729729729719</v>
      </c>
      <c r="M140" s="47">
        <v>68.987341772151893</v>
      </c>
      <c r="O140" s="172">
        <v>7</v>
      </c>
      <c r="P140" s="7">
        <v>1170</v>
      </c>
      <c r="R140" s="7">
        <v>30</v>
      </c>
      <c r="S140" s="7">
        <v>20700</v>
      </c>
      <c r="U140" s="47">
        <v>7</v>
      </c>
      <c r="V140" s="7">
        <v>1260</v>
      </c>
      <c r="X140" s="172">
        <v>7</v>
      </c>
      <c r="Y140" s="7">
        <v>1410</v>
      </c>
      <c r="Z140" s="7" t="s">
        <v>635</v>
      </c>
    </row>
    <row r="141" spans="2:26">
      <c r="B141" s="7">
        <v>8</v>
      </c>
      <c r="C141" s="7">
        <v>5670</v>
      </c>
      <c r="F141" s="7">
        <v>680</v>
      </c>
      <c r="G141" s="7">
        <v>77.752990184503261</v>
      </c>
      <c r="I141" s="7">
        <v>678</v>
      </c>
      <c r="J141" s="7">
        <v>94.123291785930846</v>
      </c>
      <c r="L141" s="75">
        <v>59.594594594594589</v>
      </c>
      <c r="M141" s="47">
        <v>112.02531645569621</v>
      </c>
      <c r="O141" s="172">
        <v>8</v>
      </c>
      <c r="P141" s="7">
        <v>1550</v>
      </c>
      <c r="R141" s="7">
        <v>35</v>
      </c>
      <c r="S141" s="7">
        <v>17700</v>
      </c>
      <c r="U141" s="47">
        <v>8</v>
      </c>
      <c r="V141" s="7">
        <v>1440</v>
      </c>
      <c r="X141" s="172">
        <v>8</v>
      </c>
      <c r="Y141" s="7">
        <v>1010</v>
      </c>
      <c r="Z141" s="7" t="s">
        <v>635</v>
      </c>
    </row>
    <row r="142" spans="2:26">
      <c r="B142" s="7">
        <v>9</v>
      </c>
      <c r="C142" s="7">
        <v>5700</v>
      </c>
      <c r="F142" s="7">
        <v>781</v>
      </c>
      <c r="G142" s="7">
        <v>68.165897614011385</v>
      </c>
      <c r="I142" s="7">
        <v>779</v>
      </c>
      <c r="J142" s="7">
        <v>82.406550026130176</v>
      </c>
      <c r="L142" s="75">
        <v>78.040540540540547</v>
      </c>
      <c r="M142" s="47">
        <v>144.9367088607595</v>
      </c>
      <c r="O142" s="172">
        <v>9</v>
      </c>
      <c r="P142" s="7">
        <v>1950</v>
      </c>
      <c r="R142" s="7">
        <v>40</v>
      </c>
      <c r="S142" s="7">
        <v>12000</v>
      </c>
      <c r="U142" s="47">
        <v>9</v>
      </c>
      <c r="V142" s="7">
        <v>1620</v>
      </c>
      <c r="X142" s="172">
        <v>9</v>
      </c>
      <c r="Y142" s="7">
        <v>747</v>
      </c>
      <c r="Z142" s="7" t="s">
        <v>635</v>
      </c>
    </row>
    <row r="143" spans="2:26">
      <c r="B143" s="7">
        <v>10</v>
      </c>
      <c r="C143" s="7">
        <v>5580</v>
      </c>
      <c r="L143" s="75">
        <v>120.6081081081081</v>
      </c>
      <c r="M143" s="47">
        <v>188.60759493670886</v>
      </c>
      <c r="O143" s="172">
        <v>10</v>
      </c>
      <c r="P143" s="7">
        <v>2330</v>
      </c>
      <c r="R143" s="7">
        <v>45</v>
      </c>
      <c r="S143" s="7">
        <v>7700</v>
      </c>
      <c r="U143" s="47">
        <v>10</v>
      </c>
      <c r="V143" s="7">
        <v>1800</v>
      </c>
      <c r="X143" s="172">
        <v>10</v>
      </c>
      <c r="Y143" s="7">
        <v>588</v>
      </c>
      <c r="Z143" s="7" t="s">
        <v>635</v>
      </c>
    </row>
    <row r="144" spans="2:26">
      <c r="B144" s="7">
        <v>15</v>
      </c>
      <c r="C144" s="7">
        <v>4110</v>
      </c>
      <c r="L144" s="75">
        <v>179.72972972972974</v>
      </c>
      <c r="M144" s="47">
        <v>207.59493670886076</v>
      </c>
      <c r="O144" s="172">
        <v>11</v>
      </c>
      <c r="P144" s="7">
        <v>2700</v>
      </c>
      <c r="R144" s="7">
        <v>50</v>
      </c>
      <c r="S144" s="7">
        <v>5200</v>
      </c>
      <c r="U144" s="47">
        <v>11</v>
      </c>
      <c r="V144" s="7">
        <v>1980</v>
      </c>
      <c r="X144" s="172">
        <v>11</v>
      </c>
      <c r="Y144" s="7">
        <v>486</v>
      </c>
      <c r="Z144" s="7" t="s">
        <v>635</v>
      </c>
    </row>
    <row r="145" spans="2:26">
      <c r="B145" s="7">
        <v>20</v>
      </c>
      <c r="C145" s="7">
        <v>2720</v>
      </c>
      <c r="L145" s="75">
        <v>295.60810810810807</v>
      </c>
      <c r="M145" s="47">
        <v>174.68354430379748</v>
      </c>
      <c r="O145" s="172">
        <v>12</v>
      </c>
      <c r="P145" s="7">
        <v>3090</v>
      </c>
      <c r="R145" s="7">
        <v>60</v>
      </c>
      <c r="S145" s="7">
        <v>2650</v>
      </c>
      <c r="U145" s="47">
        <v>12</v>
      </c>
      <c r="V145" s="7">
        <v>2160</v>
      </c>
      <c r="X145" s="172">
        <v>12</v>
      </c>
      <c r="Y145" s="7">
        <v>412</v>
      </c>
      <c r="Z145" s="7" t="s">
        <v>635</v>
      </c>
    </row>
    <row r="146" spans="2:26">
      <c r="B146" s="7">
        <v>30</v>
      </c>
      <c r="C146" s="7">
        <v>1290</v>
      </c>
      <c r="F146" s="270" t="s">
        <v>624</v>
      </c>
      <c r="G146" s="270"/>
      <c r="I146" s="270" t="s">
        <v>629</v>
      </c>
      <c r="J146" s="270"/>
      <c r="O146" s="172">
        <v>13</v>
      </c>
      <c r="P146" s="7">
        <v>3480</v>
      </c>
      <c r="R146" s="7">
        <v>70</v>
      </c>
      <c r="S146" s="7">
        <v>1530</v>
      </c>
      <c r="U146" s="47">
        <v>13</v>
      </c>
      <c r="V146" s="7">
        <v>2330</v>
      </c>
      <c r="X146" s="172">
        <v>13</v>
      </c>
      <c r="Y146" s="7">
        <v>359</v>
      </c>
      <c r="Z146" s="7" t="s">
        <v>635</v>
      </c>
    </row>
    <row r="147" spans="2:26">
      <c r="B147" s="7">
        <v>40</v>
      </c>
      <c r="C147" s="7">
        <v>719</v>
      </c>
      <c r="F147" s="62" t="s">
        <v>330</v>
      </c>
      <c r="G147" s="62" t="s">
        <v>608</v>
      </c>
      <c r="I147" s="62" t="s">
        <v>330</v>
      </c>
      <c r="J147" s="62" t="s">
        <v>608</v>
      </c>
      <c r="O147" s="172">
        <v>14</v>
      </c>
      <c r="P147" s="7">
        <v>3840</v>
      </c>
      <c r="R147" s="7">
        <v>80</v>
      </c>
      <c r="S147" s="7">
        <v>960</v>
      </c>
      <c r="U147" s="47">
        <v>14</v>
      </c>
      <c r="V147" s="7">
        <v>2510</v>
      </c>
      <c r="X147" s="172">
        <v>14</v>
      </c>
      <c r="Y147" s="7">
        <v>318</v>
      </c>
      <c r="Z147" s="7" t="s">
        <v>635</v>
      </c>
    </row>
    <row r="148" spans="2:26">
      <c r="B148" s="7">
        <v>50</v>
      </c>
      <c r="C148" s="7">
        <v>465</v>
      </c>
      <c r="F148" s="172">
        <v>1</v>
      </c>
      <c r="G148" s="7">
        <v>15.2</v>
      </c>
      <c r="I148" s="172">
        <v>473.2</v>
      </c>
      <c r="J148" s="7">
        <v>30.1</v>
      </c>
      <c r="O148" s="172">
        <v>15</v>
      </c>
      <c r="P148" s="7">
        <v>4160</v>
      </c>
      <c r="R148" s="7">
        <v>90</v>
      </c>
      <c r="S148" s="7">
        <v>640</v>
      </c>
      <c r="U148" s="47">
        <v>15</v>
      </c>
      <c r="V148" s="7">
        <v>2680</v>
      </c>
      <c r="X148" s="172">
        <v>15</v>
      </c>
      <c r="Y148" s="7">
        <v>286</v>
      </c>
      <c r="Z148" s="7" t="s">
        <v>635</v>
      </c>
    </row>
    <row r="149" spans="2:26">
      <c r="B149" s="7">
        <v>60</v>
      </c>
      <c r="C149" s="7">
        <v>327</v>
      </c>
      <c r="F149" s="172">
        <v>2</v>
      </c>
      <c r="G149" s="7">
        <v>30.4</v>
      </c>
      <c r="I149" s="172">
        <v>673.2</v>
      </c>
      <c r="J149" s="7">
        <v>25.1</v>
      </c>
      <c r="O149" s="172">
        <v>16</v>
      </c>
      <c r="P149" s="7">
        <v>4410</v>
      </c>
      <c r="R149" s="7">
        <v>100</v>
      </c>
      <c r="S149" s="7">
        <v>450</v>
      </c>
      <c r="U149" s="47">
        <v>16</v>
      </c>
      <c r="V149" s="7">
        <v>2840</v>
      </c>
      <c r="X149" s="172">
        <v>16</v>
      </c>
      <c r="Y149" s="7">
        <v>261</v>
      </c>
      <c r="Z149" s="7" t="s">
        <v>635</v>
      </c>
    </row>
    <row r="150" spans="2:26">
      <c r="B150" s="7">
        <v>70</v>
      </c>
      <c r="C150" s="7">
        <v>249</v>
      </c>
      <c r="F150" s="172">
        <v>3</v>
      </c>
      <c r="G150" s="7">
        <v>45.6</v>
      </c>
      <c r="I150" s="172">
        <v>873.2</v>
      </c>
      <c r="J150" s="7">
        <v>22.2</v>
      </c>
      <c r="O150" s="172">
        <v>18</v>
      </c>
      <c r="P150" s="7">
        <v>4770</v>
      </c>
      <c r="R150" s="7">
        <v>150</v>
      </c>
      <c r="S150" s="7">
        <v>150</v>
      </c>
      <c r="U150" s="47">
        <v>18</v>
      </c>
      <c r="V150" s="7">
        <v>3170</v>
      </c>
      <c r="X150" s="172">
        <v>18</v>
      </c>
      <c r="Y150" s="7">
        <v>222</v>
      </c>
      <c r="Z150" s="7" t="s">
        <v>635</v>
      </c>
    </row>
    <row r="151" spans="2:26">
      <c r="B151" s="7">
        <v>80</v>
      </c>
      <c r="C151" s="7">
        <v>202</v>
      </c>
      <c r="F151" s="172">
        <v>4</v>
      </c>
      <c r="G151" s="7">
        <v>60.8</v>
      </c>
      <c r="I151" s="172">
        <v>1073</v>
      </c>
      <c r="J151" s="7">
        <v>20.100000000000001</v>
      </c>
      <c r="O151" s="172">
        <v>20</v>
      </c>
      <c r="P151" s="7">
        <v>4980</v>
      </c>
      <c r="R151" s="7">
        <v>200</v>
      </c>
      <c r="S151" s="7">
        <v>82</v>
      </c>
      <c r="U151" s="47">
        <v>20</v>
      </c>
      <c r="V151" s="7">
        <v>3480</v>
      </c>
      <c r="X151" s="172">
        <v>20</v>
      </c>
      <c r="Y151" s="7">
        <v>194</v>
      </c>
      <c r="Z151" s="7" t="s">
        <v>635</v>
      </c>
    </row>
    <row r="152" spans="2:26">
      <c r="B152" s="7">
        <v>90</v>
      </c>
      <c r="C152" s="7">
        <v>178</v>
      </c>
      <c r="F152" s="172">
        <v>5</v>
      </c>
      <c r="G152" s="7">
        <v>76</v>
      </c>
      <c r="O152" s="172">
        <v>25</v>
      </c>
      <c r="P152" s="7">
        <v>5130</v>
      </c>
      <c r="R152" s="7">
        <v>250</v>
      </c>
      <c r="S152" s="7">
        <v>58</v>
      </c>
      <c r="U152" s="47">
        <v>25</v>
      </c>
      <c r="V152" s="7">
        <v>4120</v>
      </c>
      <c r="X152" s="172">
        <v>25</v>
      </c>
      <c r="Y152" s="7">
        <v>151</v>
      </c>
      <c r="Z152" s="7" t="s">
        <v>635</v>
      </c>
    </row>
    <row r="153" spans="2:26">
      <c r="B153" s="7">
        <v>100</v>
      </c>
      <c r="C153" s="7">
        <v>169</v>
      </c>
      <c r="F153" s="172">
        <v>6</v>
      </c>
      <c r="G153" s="7">
        <v>91.1</v>
      </c>
      <c r="O153" s="172">
        <v>30</v>
      </c>
      <c r="P153" s="7">
        <v>4810</v>
      </c>
      <c r="R153" s="7">
        <v>273.2</v>
      </c>
      <c r="S153" s="7">
        <v>52</v>
      </c>
      <c r="U153" s="47">
        <v>30</v>
      </c>
      <c r="V153" s="7">
        <v>4560</v>
      </c>
      <c r="X153" s="172">
        <v>30</v>
      </c>
      <c r="Y153" s="7">
        <v>128</v>
      </c>
      <c r="Z153" s="7" t="s">
        <v>635</v>
      </c>
    </row>
    <row r="154" spans="2:26">
      <c r="B154" s="7">
        <v>150</v>
      </c>
      <c r="C154" s="7">
        <v>161</v>
      </c>
      <c r="F154" s="172">
        <v>7</v>
      </c>
      <c r="G154" s="7">
        <v>106</v>
      </c>
      <c r="I154" s="271" t="s">
        <v>632</v>
      </c>
      <c r="J154" s="270"/>
      <c r="O154" s="172">
        <v>35</v>
      </c>
      <c r="P154" s="7">
        <v>4130</v>
      </c>
      <c r="R154" s="7">
        <v>300</v>
      </c>
      <c r="S154" s="7">
        <v>46</v>
      </c>
      <c r="U154" s="47">
        <v>35</v>
      </c>
      <c r="V154" s="7">
        <v>4720</v>
      </c>
      <c r="X154" s="172">
        <v>35</v>
      </c>
      <c r="Y154" s="7">
        <v>115</v>
      </c>
      <c r="Z154" s="7" t="s">
        <v>635</v>
      </c>
    </row>
    <row r="155" spans="2:26">
      <c r="B155" s="7">
        <v>200</v>
      </c>
      <c r="C155" s="7">
        <v>159</v>
      </c>
      <c r="F155" s="172">
        <v>8</v>
      </c>
      <c r="G155" s="7">
        <v>121</v>
      </c>
      <c r="I155" s="62" t="s">
        <v>330</v>
      </c>
      <c r="J155" s="62" t="s">
        <v>608</v>
      </c>
      <c r="O155" s="172">
        <v>40</v>
      </c>
      <c r="P155" s="7">
        <v>3530</v>
      </c>
      <c r="R155" s="7">
        <v>350</v>
      </c>
      <c r="S155" s="7">
        <v>38</v>
      </c>
      <c r="U155" s="47">
        <v>40</v>
      </c>
      <c r="V155" s="7">
        <v>4620</v>
      </c>
      <c r="X155" s="172">
        <v>40</v>
      </c>
      <c r="Y155" s="7">
        <v>109</v>
      </c>
      <c r="Z155" s="7" t="s">
        <v>635</v>
      </c>
    </row>
    <row r="156" spans="2:26">
      <c r="B156" s="7">
        <v>250</v>
      </c>
      <c r="C156" s="7">
        <v>157</v>
      </c>
      <c r="F156" s="172">
        <v>9</v>
      </c>
      <c r="G156" s="7">
        <v>136</v>
      </c>
      <c r="I156" s="172">
        <v>87.3</v>
      </c>
      <c r="J156" s="7">
        <v>200.3</v>
      </c>
      <c r="O156" s="172">
        <v>45</v>
      </c>
      <c r="P156" s="7">
        <v>3060</v>
      </c>
      <c r="R156" s="7">
        <v>400</v>
      </c>
      <c r="S156" s="7">
        <v>32.4</v>
      </c>
      <c r="U156" s="47">
        <v>45</v>
      </c>
      <c r="V156" s="7">
        <v>4420</v>
      </c>
      <c r="X156" s="172">
        <v>45</v>
      </c>
      <c r="Y156" s="7">
        <v>106</v>
      </c>
      <c r="Z156" s="7" t="s">
        <v>635</v>
      </c>
    </row>
    <row r="157" spans="2:26">
      <c r="B157" s="7">
        <v>300</v>
      </c>
      <c r="C157" s="7">
        <v>156</v>
      </c>
      <c r="F157" s="172">
        <v>10</v>
      </c>
      <c r="G157" s="7">
        <v>151</v>
      </c>
      <c r="I157" s="172">
        <v>95.7</v>
      </c>
      <c r="J157" s="7">
        <v>195.2</v>
      </c>
      <c r="O157" s="172">
        <v>50</v>
      </c>
      <c r="P157" s="7">
        <v>2680</v>
      </c>
      <c r="R157" s="7">
        <v>450</v>
      </c>
      <c r="S157" s="7">
        <v>27.9</v>
      </c>
      <c r="U157" s="47">
        <v>50</v>
      </c>
      <c r="V157" s="7">
        <v>4000</v>
      </c>
      <c r="X157" s="172">
        <v>50</v>
      </c>
      <c r="Y157" s="7">
        <v>104</v>
      </c>
      <c r="Z157" s="7" t="s">
        <v>635</v>
      </c>
    </row>
    <row r="158" spans="2:26">
      <c r="B158" s="7">
        <v>350</v>
      </c>
      <c r="C158" s="7">
        <v>155</v>
      </c>
      <c r="F158" s="172">
        <v>11</v>
      </c>
      <c r="G158" s="7">
        <v>166</v>
      </c>
      <c r="I158" s="172">
        <v>99.6</v>
      </c>
      <c r="J158" s="7">
        <v>192.7</v>
      </c>
      <c r="O158" s="172">
        <v>60</v>
      </c>
      <c r="P158" s="7">
        <v>2110</v>
      </c>
      <c r="R158" s="7">
        <v>500</v>
      </c>
      <c r="S158" s="7">
        <v>24.2</v>
      </c>
      <c r="U158" s="47">
        <v>60</v>
      </c>
      <c r="V158" s="7">
        <v>2980</v>
      </c>
      <c r="X158" s="172">
        <v>60</v>
      </c>
      <c r="Y158" s="7">
        <v>102</v>
      </c>
      <c r="Z158" s="7" t="s">
        <v>635</v>
      </c>
    </row>
    <row r="159" spans="2:26">
      <c r="B159" s="7">
        <v>400</v>
      </c>
      <c r="C159" s="7">
        <v>153</v>
      </c>
      <c r="F159" s="172">
        <v>12</v>
      </c>
      <c r="G159" s="7">
        <v>181</v>
      </c>
      <c r="I159" s="172">
        <v>199.5</v>
      </c>
      <c r="J159" s="7">
        <v>173.3</v>
      </c>
      <c r="O159" s="172">
        <v>70</v>
      </c>
      <c r="P159" s="7">
        <v>1680</v>
      </c>
      <c r="R159" s="7">
        <v>600</v>
      </c>
      <c r="S159" s="7">
        <v>18.899999999999999</v>
      </c>
      <c r="U159" s="47">
        <v>70</v>
      </c>
      <c r="V159" s="7">
        <v>2170</v>
      </c>
      <c r="X159" s="172">
        <v>70</v>
      </c>
      <c r="Y159" s="7">
        <v>100</v>
      </c>
      <c r="Z159" s="7" t="s">
        <v>635</v>
      </c>
    </row>
    <row r="160" spans="2:26">
      <c r="B160" s="7">
        <v>500</v>
      </c>
      <c r="C160" s="7">
        <v>151</v>
      </c>
      <c r="F160" s="172">
        <v>13</v>
      </c>
      <c r="G160" s="7">
        <v>195</v>
      </c>
      <c r="I160" s="172">
        <v>201.7</v>
      </c>
      <c r="J160" s="7">
        <v>172.9</v>
      </c>
      <c r="O160" s="172">
        <v>80</v>
      </c>
      <c r="P160" s="7">
        <v>1340</v>
      </c>
      <c r="R160" s="7">
        <v>700</v>
      </c>
      <c r="S160" s="7">
        <v>15.4</v>
      </c>
      <c r="U160" s="47">
        <v>80</v>
      </c>
      <c r="V160" s="7">
        <v>1620</v>
      </c>
      <c r="X160" s="172">
        <v>80</v>
      </c>
      <c r="Y160" s="7">
        <v>99.2</v>
      </c>
      <c r="Z160" s="7" t="s">
        <v>635</v>
      </c>
    </row>
    <row r="161" spans="2:26">
      <c r="B161" s="7">
        <v>600</v>
      </c>
      <c r="C161" s="7">
        <v>149</v>
      </c>
      <c r="F161" s="172">
        <v>14</v>
      </c>
      <c r="G161" s="7">
        <v>209</v>
      </c>
      <c r="I161" s="172">
        <v>204.3</v>
      </c>
      <c r="J161" s="7">
        <v>172.7</v>
      </c>
      <c r="O161" s="172">
        <v>90</v>
      </c>
      <c r="P161" s="7">
        <v>1080</v>
      </c>
      <c r="R161" s="7">
        <v>800</v>
      </c>
      <c r="S161" s="7">
        <v>13</v>
      </c>
      <c r="U161" s="47">
        <v>90</v>
      </c>
      <c r="V161" s="7">
        <v>1250</v>
      </c>
      <c r="X161" s="172">
        <v>90</v>
      </c>
      <c r="Y161" s="7">
        <v>98.3</v>
      </c>
      <c r="Z161" s="7" t="s">
        <v>635</v>
      </c>
    </row>
    <row r="162" spans="2:26">
      <c r="B162" s="7">
        <v>800</v>
      </c>
      <c r="C162" s="7">
        <v>146</v>
      </c>
      <c r="F162" s="172">
        <v>15</v>
      </c>
      <c r="G162" s="7">
        <v>223</v>
      </c>
      <c r="I162" s="172">
        <v>278.2</v>
      </c>
      <c r="J162" s="7">
        <v>166</v>
      </c>
      <c r="O162" s="172">
        <v>100</v>
      </c>
      <c r="P162" s="7">
        <v>884</v>
      </c>
      <c r="R162" s="7">
        <v>900</v>
      </c>
      <c r="S162" s="7">
        <v>11.5</v>
      </c>
      <c r="U162" s="47">
        <v>100</v>
      </c>
      <c r="V162" s="7">
        <v>990</v>
      </c>
      <c r="X162" s="172">
        <v>100</v>
      </c>
      <c r="Y162" s="7">
        <v>97.6</v>
      </c>
      <c r="Z162" s="7" t="s">
        <v>635</v>
      </c>
    </row>
    <row r="163" spans="2:26">
      <c r="F163" s="172">
        <v>16</v>
      </c>
      <c r="G163" s="7">
        <v>237</v>
      </c>
      <c r="I163" s="172">
        <v>281.5</v>
      </c>
      <c r="J163" s="7">
        <v>165.9</v>
      </c>
      <c r="O163" s="172">
        <v>150</v>
      </c>
      <c r="P163" s="7">
        <v>409</v>
      </c>
      <c r="R163" s="7">
        <v>1000</v>
      </c>
      <c r="S163" s="7">
        <v>10.5</v>
      </c>
      <c r="U163" s="47">
        <v>150</v>
      </c>
      <c r="V163" s="7">
        <v>451</v>
      </c>
      <c r="X163" s="172">
        <v>150</v>
      </c>
      <c r="Y163" s="7">
        <v>93.9</v>
      </c>
      <c r="Z163" s="7" t="s">
        <v>635</v>
      </c>
    </row>
    <row r="164" spans="2:26">
      <c r="F164" s="172">
        <v>18</v>
      </c>
      <c r="G164" s="7">
        <v>263</v>
      </c>
      <c r="I164" s="172">
        <v>334.7</v>
      </c>
      <c r="J164" s="7">
        <v>160.30000000000001</v>
      </c>
      <c r="O164" s="172">
        <v>200</v>
      </c>
      <c r="P164" s="7">
        <v>264</v>
      </c>
      <c r="U164" s="47">
        <v>200</v>
      </c>
      <c r="V164" s="7">
        <v>301</v>
      </c>
      <c r="X164" s="172">
        <v>200</v>
      </c>
      <c r="Y164" s="7">
        <v>89.7</v>
      </c>
      <c r="Z164" s="7" t="s">
        <v>635</v>
      </c>
    </row>
    <row r="165" spans="2:26">
      <c r="B165" s="270" t="s">
        <v>666</v>
      </c>
      <c r="C165" s="270"/>
      <c r="F165" s="172">
        <v>20</v>
      </c>
      <c r="G165" s="7">
        <v>287</v>
      </c>
      <c r="I165" s="172">
        <v>337.8</v>
      </c>
      <c r="J165" s="7">
        <v>160.6</v>
      </c>
      <c r="O165" s="172">
        <v>250</v>
      </c>
      <c r="P165" s="7">
        <v>191</v>
      </c>
      <c r="U165" s="47">
        <v>250</v>
      </c>
      <c r="V165" s="7">
        <v>236</v>
      </c>
      <c r="X165" s="172">
        <v>250</v>
      </c>
      <c r="Y165" s="7">
        <v>85.6</v>
      </c>
      <c r="Z165" s="7" t="s">
        <v>635</v>
      </c>
    </row>
    <row r="166" spans="2:26">
      <c r="B166" s="62" t="s">
        <v>330</v>
      </c>
      <c r="C166" s="62" t="s">
        <v>608</v>
      </c>
      <c r="F166" s="172">
        <v>25</v>
      </c>
      <c r="G166" s="7">
        <v>336</v>
      </c>
      <c r="I166" s="172">
        <v>373.8</v>
      </c>
      <c r="J166" s="7">
        <v>155.6</v>
      </c>
      <c r="O166" s="172">
        <v>273</v>
      </c>
      <c r="P166" s="7">
        <v>168</v>
      </c>
      <c r="U166" s="47">
        <v>273</v>
      </c>
      <c r="V166" s="7">
        <v>218</v>
      </c>
      <c r="X166" s="172">
        <v>273</v>
      </c>
      <c r="Y166" s="7">
        <v>83.7</v>
      </c>
      <c r="Z166" s="7" t="s">
        <v>635</v>
      </c>
    </row>
    <row r="167" spans="2:26">
      <c r="B167" s="9">
        <v>4</v>
      </c>
      <c r="C167" s="9">
        <v>35.1</v>
      </c>
      <c r="F167" s="172">
        <v>30</v>
      </c>
      <c r="G167" s="7">
        <v>364</v>
      </c>
      <c r="I167" s="172">
        <v>377.3</v>
      </c>
      <c r="J167" s="7">
        <v>155.6</v>
      </c>
      <c r="O167" s="172">
        <v>298</v>
      </c>
      <c r="P167" s="7">
        <v>149</v>
      </c>
      <c r="U167" s="47">
        <v>298</v>
      </c>
      <c r="V167" s="7">
        <v>201</v>
      </c>
      <c r="X167" s="172">
        <v>298</v>
      </c>
      <c r="Y167" s="7">
        <v>81.8</v>
      </c>
      <c r="Z167" s="7" t="s">
        <v>635</v>
      </c>
    </row>
    <row r="168" spans="2:26">
      <c r="B168" s="9">
        <v>6</v>
      </c>
      <c r="C168" s="9">
        <v>52.2</v>
      </c>
      <c r="F168" s="172">
        <v>35</v>
      </c>
      <c r="G168" s="7">
        <v>370</v>
      </c>
      <c r="O168" s="172">
        <v>300</v>
      </c>
      <c r="P168" s="7">
        <v>148</v>
      </c>
      <c r="U168" s="47">
        <v>300</v>
      </c>
      <c r="V168" s="7">
        <v>200</v>
      </c>
      <c r="X168" s="172">
        <v>300</v>
      </c>
      <c r="Y168" s="7">
        <v>81.599999999999994</v>
      </c>
      <c r="Z168" s="7" t="s">
        <v>635</v>
      </c>
    </row>
    <row r="169" spans="2:26">
      <c r="B169" s="9">
        <v>8</v>
      </c>
      <c r="C169" s="9">
        <v>69.7</v>
      </c>
      <c r="F169" s="172">
        <v>40</v>
      </c>
      <c r="G169" s="7">
        <v>355</v>
      </c>
      <c r="O169" s="172">
        <v>350</v>
      </c>
      <c r="P169" s="7">
        <v>119</v>
      </c>
      <c r="U169" s="47">
        <v>350</v>
      </c>
      <c r="V169" s="7">
        <v>178</v>
      </c>
      <c r="X169" s="172">
        <v>350</v>
      </c>
      <c r="Y169" s="7">
        <v>77.8</v>
      </c>
      <c r="Z169" s="7" t="s">
        <v>635</v>
      </c>
    </row>
    <row r="170" spans="2:26">
      <c r="B170" s="9">
        <v>10</v>
      </c>
      <c r="C170" s="9">
        <v>86.8</v>
      </c>
      <c r="F170" s="172">
        <v>45</v>
      </c>
      <c r="G170" s="7">
        <v>328</v>
      </c>
      <c r="O170" s="172">
        <v>400</v>
      </c>
      <c r="P170" s="7">
        <v>98.9</v>
      </c>
      <c r="U170" s="47">
        <v>400</v>
      </c>
      <c r="V170" s="7">
        <v>161</v>
      </c>
      <c r="X170" s="172">
        <v>400</v>
      </c>
      <c r="Y170" s="7">
        <v>74.5</v>
      </c>
      <c r="Z170" s="7" t="s">
        <v>635</v>
      </c>
    </row>
    <row r="171" spans="2:26">
      <c r="B171" s="9">
        <v>14</v>
      </c>
      <c r="C171" s="9">
        <v>121.5</v>
      </c>
      <c r="F171" s="172">
        <v>50</v>
      </c>
      <c r="G171" s="7">
        <v>302</v>
      </c>
      <c r="I171" s="271" t="s">
        <v>653</v>
      </c>
      <c r="J171" s="270"/>
      <c r="K171" s="270"/>
      <c r="L171" s="270"/>
      <c r="O171" s="172">
        <v>500</v>
      </c>
      <c r="P171" s="7">
        <v>76.2</v>
      </c>
      <c r="U171" s="47">
        <v>500</v>
      </c>
      <c r="V171" s="7">
        <v>139</v>
      </c>
      <c r="X171" s="172">
        <v>429.8</v>
      </c>
      <c r="Y171" s="7">
        <v>72.900000000000006</v>
      </c>
      <c r="Z171" s="7" t="s">
        <v>635</v>
      </c>
    </row>
    <row r="172" spans="2:26">
      <c r="B172" s="9">
        <v>20</v>
      </c>
      <c r="C172" s="9">
        <v>170</v>
      </c>
      <c r="F172" s="172">
        <v>60</v>
      </c>
      <c r="G172" s="7">
        <v>262</v>
      </c>
      <c r="I172" s="62" t="s">
        <v>281</v>
      </c>
      <c r="J172" s="62" t="s">
        <v>650</v>
      </c>
      <c r="K172" s="62" t="s">
        <v>651</v>
      </c>
      <c r="L172" s="62" t="s">
        <v>652</v>
      </c>
      <c r="O172" s="172">
        <v>600</v>
      </c>
      <c r="P172" s="7">
        <v>61.9</v>
      </c>
      <c r="U172" s="47">
        <v>600</v>
      </c>
      <c r="V172" s="7">
        <v>126</v>
      </c>
      <c r="X172" s="172">
        <v>429.8</v>
      </c>
      <c r="Y172" s="7">
        <v>38.200000000000003</v>
      </c>
      <c r="Z172" s="7" t="s">
        <v>634</v>
      </c>
    </row>
    <row r="173" spans="2:26">
      <c r="B173" s="9">
        <v>24</v>
      </c>
      <c r="C173" s="9">
        <v>200</v>
      </c>
      <c r="F173" s="172">
        <v>70</v>
      </c>
      <c r="G173" s="7">
        <v>232</v>
      </c>
      <c r="I173" s="47">
        <v>2</v>
      </c>
      <c r="J173" s="7">
        <v>1.38</v>
      </c>
      <c r="K173" s="7">
        <v>3.31</v>
      </c>
      <c r="L173" s="7">
        <v>2</v>
      </c>
      <c r="O173" s="172">
        <v>700</v>
      </c>
      <c r="P173" s="7">
        <v>50.8</v>
      </c>
      <c r="U173" s="47">
        <v>700</v>
      </c>
      <c r="V173" s="7">
        <v>115</v>
      </c>
      <c r="X173" s="172">
        <v>500</v>
      </c>
      <c r="Y173" s="7">
        <v>39.4</v>
      </c>
      <c r="Z173" s="7" t="s">
        <v>634</v>
      </c>
    </row>
    <row r="174" spans="2:26">
      <c r="B174" s="9">
        <v>30</v>
      </c>
      <c r="C174" s="9">
        <v>235</v>
      </c>
      <c r="F174" s="172">
        <v>80</v>
      </c>
      <c r="G174" s="7">
        <v>209</v>
      </c>
      <c r="I174" s="47">
        <v>3</v>
      </c>
      <c r="J174" s="7">
        <v>4.6100000000000003</v>
      </c>
      <c r="K174" s="7">
        <v>11.1</v>
      </c>
      <c r="L174" s="7">
        <v>6.76</v>
      </c>
      <c r="O174" s="172">
        <v>800</v>
      </c>
      <c r="P174" s="7">
        <v>42.2</v>
      </c>
      <c r="U174" s="47">
        <v>800</v>
      </c>
      <c r="V174" s="7">
        <v>106</v>
      </c>
      <c r="X174" s="172">
        <v>600</v>
      </c>
      <c r="Y174" s="7">
        <v>42.5</v>
      </c>
      <c r="Z174" s="7" t="s">
        <v>634</v>
      </c>
    </row>
    <row r="175" spans="2:26">
      <c r="B175" s="9">
        <v>40</v>
      </c>
      <c r="C175" s="9">
        <v>268</v>
      </c>
      <c r="F175" s="172">
        <v>90</v>
      </c>
      <c r="G175" s="7">
        <v>193</v>
      </c>
      <c r="I175" s="47">
        <v>4</v>
      </c>
      <c r="J175" s="7">
        <v>10.8</v>
      </c>
      <c r="K175" s="7">
        <v>26.1</v>
      </c>
      <c r="L175" s="7">
        <v>16</v>
      </c>
      <c r="O175" s="172">
        <v>900</v>
      </c>
      <c r="P175" s="7">
        <v>35.9</v>
      </c>
      <c r="U175" s="47">
        <v>900</v>
      </c>
      <c r="V175" s="7">
        <v>98.2</v>
      </c>
      <c r="X175" s="172">
        <v>700</v>
      </c>
      <c r="Y175" s="7">
        <v>45.3</v>
      </c>
      <c r="Z175" s="7" t="s">
        <v>634</v>
      </c>
    </row>
    <row r="176" spans="2:26">
      <c r="B176" s="9">
        <v>50</v>
      </c>
      <c r="C176" s="9">
        <v>276</v>
      </c>
      <c r="F176" s="172">
        <v>100</v>
      </c>
      <c r="G176" s="7">
        <v>179</v>
      </c>
      <c r="I176" s="47">
        <v>5</v>
      </c>
      <c r="J176" s="7">
        <v>20.6</v>
      </c>
      <c r="K176" s="7">
        <v>49.4</v>
      </c>
      <c r="L176" s="7">
        <v>30.7</v>
      </c>
      <c r="O176" s="172">
        <v>1000</v>
      </c>
      <c r="P176" s="7">
        <v>31.2</v>
      </c>
      <c r="U176" s="47">
        <v>1000</v>
      </c>
      <c r="V176" s="7">
        <v>90.8</v>
      </c>
      <c r="X176" s="172">
        <v>800</v>
      </c>
      <c r="Y176" s="7">
        <v>47.9</v>
      </c>
      <c r="Z176" s="7" t="s">
        <v>634</v>
      </c>
    </row>
    <row r="177" spans="2:26">
      <c r="B177" s="9">
        <v>60</v>
      </c>
      <c r="C177" s="9">
        <v>267</v>
      </c>
      <c r="F177" s="172">
        <v>150</v>
      </c>
      <c r="G177" s="7">
        <v>149</v>
      </c>
      <c r="I177" s="47">
        <v>6</v>
      </c>
      <c r="J177" s="7">
        <v>34.4</v>
      </c>
      <c r="K177" s="7">
        <v>82</v>
      </c>
      <c r="L177" s="7">
        <v>51</v>
      </c>
      <c r="O177" s="172">
        <v>1100</v>
      </c>
      <c r="P177" s="7">
        <v>27.9</v>
      </c>
      <c r="U177" s="47">
        <v>1100</v>
      </c>
      <c r="V177" s="7">
        <v>84.2</v>
      </c>
      <c r="X177" s="172">
        <v>900</v>
      </c>
      <c r="Y177" s="7">
        <v>49.4</v>
      </c>
      <c r="Z177" s="7" t="s">
        <v>634</v>
      </c>
    </row>
    <row r="178" spans="2:26">
      <c r="B178" s="9">
        <v>70</v>
      </c>
      <c r="C178" s="9">
        <v>252</v>
      </c>
      <c r="F178" s="172">
        <v>200</v>
      </c>
      <c r="G178" s="7">
        <v>143</v>
      </c>
      <c r="I178" s="47">
        <v>7</v>
      </c>
      <c r="J178" s="7">
        <v>52.3</v>
      </c>
      <c r="K178" s="7">
        <v>124</v>
      </c>
      <c r="L178" s="7">
        <v>77.8</v>
      </c>
      <c r="O178" s="172">
        <v>1200</v>
      </c>
      <c r="P178" s="7">
        <v>25.7</v>
      </c>
      <c r="U178" s="47">
        <v>1200</v>
      </c>
      <c r="V178" s="7">
        <v>78.7</v>
      </c>
    </row>
    <row r="179" spans="2:26">
      <c r="B179" s="9">
        <v>80</v>
      </c>
      <c r="C179" s="9">
        <v>234</v>
      </c>
      <c r="F179" s="172">
        <v>250</v>
      </c>
      <c r="G179" s="7">
        <v>140</v>
      </c>
      <c r="I179" s="47">
        <v>8</v>
      </c>
      <c r="J179" s="7">
        <v>76.2</v>
      </c>
      <c r="K179" s="7">
        <v>177</v>
      </c>
      <c r="L179" s="7">
        <v>112</v>
      </c>
      <c r="O179" s="172">
        <v>1300</v>
      </c>
      <c r="P179" s="7">
        <v>24.4</v>
      </c>
      <c r="U179" s="47">
        <v>1300</v>
      </c>
      <c r="V179" s="7">
        <v>73.8</v>
      </c>
    </row>
    <row r="180" spans="2:26">
      <c r="B180" s="9">
        <v>100</v>
      </c>
      <c r="C180" s="9">
        <v>213</v>
      </c>
      <c r="F180" s="172">
        <v>273</v>
      </c>
      <c r="G180" s="7">
        <v>139</v>
      </c>
      <c r="I180" s="47">
        <v>9</v>
      </c>
      <c r="J180" s="7">
        <v>105</v>
      </c>
      <c r="K180" s="7">
        <v>241</v>
      </c>
      <c r="L180" s="7">
        <v>153</v>
      </c>
      <c r="O180" s="172">
        <v>1400</v>
      </c>
      <c r="P180" s="7">
        <v>23.5</v>
      </c>
      <c r="U180" s="47">
        <v>1400</v>
      </c>
      <c r="V180" s="7">
        <v>69.400000000000006</v>
      </c>
    </row>
    <row r="181" spans="2:26">
      <c r="B181" s="9">
        <v>120</v>
      </c>
      <c r="C181" s="9">
        <v>206</v>
      </c>
      <c r="F181" s="172">
        <v>298</v>
      </c>
      <c r="G181" s="7">
        <v>138</v>
      </c>
      <c r="I181" s="47">
        <v>10</v>
      </c>
      <c r="J181" s="7">
        <v>140</v>
      </c>
      <c r="K181" s="7">
        <v>317</v>
      </c>
      <c r="L181" s="7">
        <v>203</v>
      </c>
      <c r="O181" s="172">
        <v>1500</v>
      </c>
      <c r="P181" s="7">
        <v>22.7</v>
      </c>
    </row>
    <row r="182" spans="2:26">
      <c r="B182" s="7">
        <v>298</v>
      </c>
      <c r="C182" s="7">
        <v>209</v>
      </c>
      <c r="F182" s="172">
        <v>300</v>
      </c>
      <c r="G182" s="7">
        <v>138</v>
      </c>
      <c r="I182" s="47">
        <v>11</v>
      </c>
      <c r="J182" s="7">
        <v>179</v>
      </c>
      <c r="K182" s="7">
        <v>400</v>
      </c>
      <c r="L182" s="7">
        <v>258</v>
      </c>
      <c r="O182" s="172">
        <v>1600</v>
      </c>
      <c r="P182" s="7">
        <v>22.1</v>
      </c>
    </row>
    <row r="183" spans="2:26">
      <c r="F183" s="172">
        <v>350</v>
      </c>
      <c r="G183" s="7">
        <v>136</v>
      </c>
      <c r="I183" s="47">
        <v>12</v>
      </c>
      <c r="J183" s="7">
        <v>224</v>
      </c>
      <c r="K183" s="7">
        <v>500</v>
      </c>
      <c r="L183" s="7">
        <v>322</v>
      </c>
      <c r="O183" s="172">
        <v>1685</v>
      </c>
      <c r="P183" s="7">
        <v>22</v>
      </c>
    </row>
    <row r="184" spans="2:26">
      <c r="F184" s="172">
        <v>400</v>
      </c>
      <c r="G184" s="7">
        <v>134</v>
      </c>
      <c r="I184" s="47">
        <v>13</v>
      </c>
      <c r="J184" s="7">
        <v>276</v>
      </c>
      <c r="K184" s="7">
        <v>610</v>
      </c>
      <c r="L184" s="7">
        <v>696</v>
      </c>
      <c r="O184" s="7"/>
      <c r="P184" s="7"/>
    </row>
    <row r="185" spans="2:26">
      <c r="F185" s="172">
        <v>500</v>
      </c>
      <c r="G185" s="7">
        <v>130</v>
      </c>
      <c r="I185" s="47">
        <v>14</v>
      </c>
      <c r="J185" s="7">
        <v>333</v>
      </c>
      <c r="K185" s="7">
        <v>732</v>
      </c>
      <c r="L185" s="7">
        <v>477</v>
      </c>
      <c r="O185" s="270" t="s">
        <v>692</v>
      </c>
      <c r="P185" s="270"/>
    </row>
    <row r="186" spans="2:26">
      <c r="F186" s="172">
        <v>600</v>
      </c>
      <c r="G186" s="7">
        <v>126</v>
      </c>
      <c r="I186" s="47">
        <v>15</v>
      </c>
      <c r="J186" s="7">
        <v>396</v>
      </c>
      <c r="K186" s="7">
        <v>865</v>
      </c>
      <c r="L186" s="7">
        <v>566</v>
      </c>
      <c r="O186" s="7" t="s">
        <v>330</v>
      </c>
      <c r="P186" s="7" t="s">
        <v>690</v>
      </c>
    </row>
    <row r="187" spans="2:26">
      <c r="F187" s="172">
        <v>700</v>
      </c>
      <c r="G187" s="7">
        <v>122</v>
      </c>
      <c r="I187" s="47">
        <v>16</v>
      </c>
      <c r="J187" s="7">
        <v>465</v>
      </c>
      <c r="K187" s="7">
        <v>1000</v>
      </c>
      <c r="L187" s="7">
        <v>662</v>
      </c>
      <c r="O187" s="75">
        <v>85</v>
      </c>
      <c r="P187" s="75">
        <v>513.84176702696868</v>
      </c>
    </row>
    <row r="188" spans="2:26">
      <c r="F188" s="172">
        <v>800</v>
      </c>
      <c r="G188" s="7">
        <v>118</v>
      </c>
      <c r="I188" s="47">
        <v>18</v>
      </c>
      <c r="J188" s="7">
        <v>615</v>
      </c>
      <c r="K188" s="7">
        <v>1320</v>
      </c>
      <c r="L188" s="7">
        <v>875</v>
      </c>
      <c r="O188" s="75">
        <v>90</v>
      </c>
      <c r="P188" s="75">
        <v>508.86574564719945</v>
      </c>
    </row>
    <row r="189" spans="2:26">
      <c r="F189" s="172">
        <v>900</v>
      </c>
      <c r="G189" s="7">
        <v>115</v>
      </c>
      <c r="I189" s="47">
        <v>20</v>
      </c>
      <c r="J189" s="7">
        <v>787</v>
      </c>
      <c r="K189" s="7">
        <v>1680</v>
      </c>
      <c r="L189" s="7">
        <v>1120</v>
      </c>
      <c r="O189" s="75">
        <v>100</v>
      </c>
      <c r="P189" s="75">
        <v>484.40676135891891</v>
      </c>
    </row>
    <row r="190" spans="2:26">
      <c r="F190" s="172">
        <v>1000</v>
      </c>
      <c r="G190" s="7">
        <v>112</v>
      </c>
      <c r="I190" s="47">
        <v>25</v>
      </c>
      <c r="J190" s="7">
        <v>1290</v>
      </c>
      <c r="K190" s="7">
        <v>2710</v>
      </c>
      <c r="L190" s="7">
        <v>1820</v>
      </c>
      <c r="O190" s="75">
        <v>105</v>
      </c>
      <c r="P190" s="75">
        <v>471.00678112706674</v>
      </c>
    </row>
    <row r="191" spans="2:26">
      <c r="F191" s="172">
        <v>1100</v>
      </c>
      <c r="G191" s="7">
        <v>108</v>
      </c>
      <c r="I191" s="47">
        <v>30</v>
      </c>
      <c r="J191" s="7">
        <v>1880</v>
      </c>
      <c r="K191" s="7">
        <v>3890</v>
      </c>
      <c r="L191" s="7">
        <v>2650</v>
      </c>
      <c r="O191" s="75">
        <v>115</v>
      </c>
      <c r="P191" s="75">
        <v>441.04706935217587</v>
      </c>
    </row>
    <row r="192" spans="2:26">
      <c r="F192" s="172">
        <v>1200</v>
      </c>
      <c r="G192" s="7">
        <v>105</v>
      </c>
      <c r="I192" s="47">
        <v>35</v>
      </c>
      <c r="J192" s="7">
        <v>2450</v>
      </c>
      <c r="K192" s="7">
        <v>5180</v>
      </c>
      <c r="L192" s="7">
        <v>3500</v>
      </c>
      <c r="O192" s="75">
        <v>120</v>
      </c>
      <c r="P192" s="75">
        <v>424.79142521238691</v>
      </c>
    </row>
    <row r="193" spans="6:16">
      <c r="F193" s="172">
        <v>1300</v>
      </c>
      <c r="G193" s="7">
        <v>103</v>
      </c>
      <c r="I193" s="47">
        <v>40</v>
      </c>
      <c r="J193" s="7">
        <v>2940</v>
      </c>
      <c r="K193" s="7">
        <v>6590</v>
      </c>
      <c r="L193" s="7">
        <v>4400</v>
      </c>
      <c r="O193" s="75">
        <v>130</v>
      </c>
      <c r="P193" s="75">
        <v>394.48511124631079</v>
      </c>
    </row>
    <row r="194" spans="6:16">
      <c r="F194" s="172">
        <v>1400</v>
      </c>
      <c r="G194" s="7">
        <v>100</v>
      </c>
      <c r="I194" s="47">
        <v>45</v>
      </c>
      <c r="J194" s="7">
        <v>3290</v>
      </c>
      <c r="K194" s="7">
        <v>7930</v>
      </c>
      <c r="L194" s="7">
        <v>5230</v>
      </c>
      <c r="O194" s="75">
        <v>140</v>
      </c>
      <c r="P194" s="75">
        <v>364.78701825182247</v>
      </c>
    </row>
    <row r="195" spans="6:16">
      <c r="F195" s="172">
        <v>1500</v>
      </c>
      <c r="G195" s="7">
        <v>98</v>
      </c>
      <c r="I195" s="47">
        <v>50</v>
      </c>
      <c r="J195" s="7">
        <v>3530</v>
      </c>
      <c r="K195" s="7">
        <v>9210</v>
      </c>
      <c r="L195" s="7">
        <v>5910</v>
      </c>
      <c r="O195" s="75">
        <v>150</v>
      </c>
      <c r="P195" s="75">
        <v>339.67431803047208</v>
      </c>
    </row>
    <row r="196" spans="6:16">
      <c r="F196" s="172">
        <v>1600</v>
      </c>
      <c r="G196" s="7">
        <v>96</v>
      </c>
      <c r="I196" s="47">
        <v>60</v>
      </c>
      <c r="J196" s="7">
        <v>3740</v>
      </c>
      <c r="K196" s="7">
        <v>11200</v>
      </c>
      <c r="L196" s="7">
        <v>6750</v>
      </c>
      <c r="O196" s="75">
        <v>160</v>
      </c>
      <c r="P196" s="75">
        <v>317.46263515871476</v>
      </c>
    </row>
    <row r="197" spans="6:16">
      <c r="F197" s="172">
        <v>1700</v>
      </c>
      <c r="G197" s="7">
        <v>94.4</v>
      </c>
      <c r="I197" s="47">
        <v>70</v>
      </c>
      <c r="J197" s="7">
        <v>3690</v>
      </c>
      <c r="K197" s="7">
        <v>11900</v>
      </c>
      <c r="L197" s="7">
        <v>6910</v>
      </c>
      <c r="O197" s="75">
        <v>170</v>
      </c>
      <c r="P197" s="75">
        <v>298.15848549465426</v>
      </c>
    </row>
    <row r="198" spans="6:16">
      <c r="F198" s="172">
        <v>1800</v>
      </c>
      <c r="G198" s="7">
        <v>92.9</v>
      </c>
      <c r="I198" s="47">
        <v>80</v>
      </c>
      <c r="J198" s="7">
        <v>3510</v>
      </c>
      <c r="K198" s="7">
        <v>11700</v>
      </c>
      <c r="L198" s="7">
        <v>6570</v>
      </c>
      <c r="O198" s="75">
        <v>180</v>
      </c>
      <c r="P198" s="75">
        <v>283.80392290644374</v>
      </c>
    </row>
    <row r="199" spans="6:16">
      <c r="F199" s="172">
        <v>1900</v>
      </c>
      <c r="G199" s="7">
        <v>91.5</v>
      </c>
      <c r="I199" s="47">
        <v>90</v>
      </c>
      <c r="J199" s="7">
        <v>3270</v>
      </c>
      <c r="K199" s="7">
        <v>10900</v>
      </c>
      <c r="L199" s="7">
        <v>6000</v>
      </c>
      <c r="O199" s="75">
        <v>190</v>
      </c>
      <c r="P199" s="75">
        <v>272.78765711035049</v>
      </c>
    </row>
    <row r="200" spans="6:16">
      <c r="F200" s="172">
        <v>2000</v>
      </c>
      <c r="G200" s="7">
        <v>90.3</v>
      </c>
      <c r="I200" s="47">
        <v>100</v>
      </c>
      <c r="J200" s="7">
        <v>3000</v>
      </c>
      <c r="K200" s="7">
        <v>10000</v>
      </c>
      <c r="L200" s="7">
        <v>5420</v>
      </c>
      <c r="O200" s="75">
        <v>200</v>
      </c>
      <c r="P200" s="75">
        <v>265.2110097152206</v>
      </c>
    </row>
    <row r="201" spans="6:16">
      <c r="F201" s="172">
        <v>2200</v>
      </c>
      <c r="G201" s="7">
        <v>88.2</v>
      </c>
      <c r="I201" s="47">
        <v>150</v>
      </c>
      <c r="J201" s="7">
        <v>1950</v>
      </c>
      <c r="K201" s="7">
        <v>6020</v>
      </c>
      <c r="L201" s="7">
        <v>3250</v>
      </c>
      <c r="O201" s="75">
        <v>225</v>
      </c>
      <c r="P201" s="75">
        <v>251.43967925707551</v>
      </c>
    </row>
    <row r="202" spans="6:16">
      <c r="F202" s="172">
        <v>2400</v>
      </c>
      <c r="G202" s="7">
        <v>86.6</v>
      </c>
      <c r="I202" s="47">
        <v>200</v>
      </c>
      <c r="J202" s="7">
        <v>1410</v>
      </c>
      <c r="K202" s="7">
        <v>4030</v>
      </c>
      <c r="L202" s="7">
        <v>2260</v>
      </c>
      <c r="O202" s="75">
        <v>250</v>
      </c>
      <c r="P202" s="75">
        <v>235.38578481802401</v>
      </c>
    </row>
    <row r="203" spans="6:16">
      <c r="F203" s="172">
        <v>2600</v>
      </c>
      <c r="G203" s="7">
        <v>85.2</v>
      </c>
      <c r="I203" s="47">
        <v>250</v>
      </c>
      <c r="J203" s="7">
        <v>1100</v>
      </c>
      <c r="K203" s="7">
        <v>2970</v>
      </c>
      <c r="L203" s="7">
        <v>1700</v>
      </c>
      <c r="O203" s="75">
        <v>275</v>
      </c>
      <c r="P203" s="75">
        <v>216.41451663123661</v>
      </c>
    </row>
    <row r="204" spans="6:16">
      <c r="F204" s="172">
        <v>2800</v>
      </c>
      <c r="G204" s="7">
        <v>84</v>
      </c>
      <c r="I204" s="47">
        <v>273</v>
      </c>
      <c r="J204" s="7">
        <v>994</v>
      </c>
      <c r="K204" s="7">
        <v>2620</v>
      </c>
      <c r="L204" s="7">
        <v>1520</v>
      </c>
      <c r="O204" s="75">
        <v>293</v>
      </c>
      <c r="P204" s="75">
        <v>207.45067555605365</v>
      </c>
    </row>
    <row r="205" spans="6:16">
      <c r="I205" s="47">
        <v>298</v>
      </c>
      <c r="J205" s="7">
        <v>900</v>
      </c>
      <c r="K205" s="7">
        <v>2320</v>
      </c>
      <c r="L205" s="7">
        <v>1360</v>
      </c>
      <c r="O205" s="75">
        <v>300</v>
      </c>
      <c r="P205" s="75">
        <v>207.52361983332906</v>
      </c>
    </row>
    <row r="206" spans="6:16">
      <c r="I206" s="47">
        <v>300</v>
      </c>
      <c r="J206" s="7">
        <v>895</v>
      </c>
      <c r="K206" s="7">
        <v>2300</v>
      </c>
      <c r="L206" s="7">
        <v>1350</v>
      </c>
      <c r="O206" s="75">
        <v>305</v>
      </c>
      <c r="P206" s="75">
        <v>207.6751438889934</v>
      </c>
    </row>
    <row r="207" spans="6:16">
      <c r="I207" s="47">
        <v>350</v>
      </c>
      <c r="J207" s="7">
        <v>755</v>
      </c>
      <c r="K207" s="7">
        <v>1850</v>
      </c>
      <c r="L207" s="7">
        <v>1110</v>
      </c>
    </row>
    <row r="208" spans="6:16">
      <c r="I208" s="47">
        <v>400</v>
      </c>
      <c r="J208" s="7">
        <v>650</v>
      </c>
      <c r="K208" s="7">
        <v>1540</v>
      </c>
      <c r="L208" s="7">
        <v>932</v>
      </c>
    </row>
  </sheetData>
  <mergeCells count="30">
    <mergeCell ref="K2:L2"/>
    <mergeCell ref="B22:E22"/>
    <mergeCell ref="H22:I22"/>
    <mergeCell ref="B43:D43"/>
    <mergeCell ref="B2:C2"/>
    <mergeCell ref="E2:F2"/>
    <mergeCell ref="H2:I2"/>
    <mergeCell ref="H43:I43"/>
    <mergeCell ref="L21:P21"/>
    <mergeCell ref="B118:D118"/>
    <mergeCell ref="K51:L51"/>
    <mergeCell ref="B105:D105"/>
    <mergeCell ref="H51:I51"/>
    <mergeCell ref="N51:O51"/>
    <mergeCell ref="Q51:R51"/>
    <mergeCell ref="C65:AB65"/>
    <mergeCell ref="X132:Z132"/>
    <mergeCell ref="B132:C132"/>
    <mergeCell ref="O132:P132"/>
    <mergeCell ref="R132:S132"/>
    <mergeCell ref="U132:V132"/>
    <mergeCell ref="L132:M132"/>
    <mergeCell ref="F132:G132"/>
    <mergeCell ref="O185:P185"/>
    <mergeCell ref="I132:J132"/>
    <mergeCell ref="B165:C165"/>
    <mergeCell ref="I171:L171"/>
    <mergeCell ref="F146:G146"/>
    <mergeCell ref="I146:J146"/>
    <mergeCell ref="I154:J154"/>
  </mergeCells>
  <phoneticPr fontId="0" type="noConversion"/>
  <hyperlinks>
    <hyperlink ref="B22:E22" r:id="rId1" display="Advanced Pyrolytic Graphite (Ref. 61)"/>
    <hyperlink ref="H22:I22" r:id="rId2" display="K1100 (Ref. 62)"/>
    <hyperlink ref="C65:AA65" r:id="rId3" display="K=10^(a+blogT+c(logT)^2+d(logT)^3+e(logT)^4+f(logT)^5+g(logT)^6+h(logT)^7+i(logT)^8) (W/m/K) (Reference 72)"/>
    <hyperlink ref="B86" r:id="rId4" display="K = 10^((a + cT^0.5 + eT + gT^1.5 + iT^2)/(1 + bT^0.5 + dT +fT^1.5 + hT^2)) (W/m/K) (Ref 72)"/>
    <hyperlink ref="H43:I43" r:id="rId5" display="SiC (Rohm-Haas) (Ref 78)"/>
    <hyperlink ref="B105:D105" r:id="rId6" display="K = a+bT+cT^2 (W/m/K) (Ref 82)"/>
    <hyperlink ref="H51:I51" r:id="rId7" display="Epo-Tek 301-2 (Ref 83)"/>
    <hyperlink ref="B118:D118" r:id="rId8" display="K=a+bT+cT^2+dT^3 (Ref 84)"/>
    <hyperlink ref="K51:L51" r:id="rId9" display="SiC (Ceraform) (Ref 86)"/>
    <hyperlink ref="B132:C132" r:id="rId10" display="Magnesium (ref 87)"/>
    <hyperlink ref="N51:O51" r:id="rId11" display="SiC (SSG)"/>
    <hyperlink ref="F132:G132" r:id="rId12" display="POCO SuperSIC-1 (ref 92)"/>
    <hyperlink ref="I132:J132" r:id="rId13" display="POCO SuperSIC-5 (ref 92)"/>
    <hyperlink ref="L132:M132" r:id="rId14" display="CoorsTek UltraSiC (ref 93)"/>
    <hyperlink ref="O132:P132" r:id="rId15" display="Si (ref 96)"/>
    <hyperlink ref="R132" r:id="rId16"/>
    <hyperlink ref="U132" r:id="rId17" display="Al2O3 Sapphire (ref 96)"/>
    <hyperlink ref="F146:G146" r:id="rId18" display="Mo (ref 96)"/>
    <hyperlink ref="I146:J146" r:id="rId19" display="AlN (ref 96)"/>
    <hyperlink ref="I154:J154" r:id="rId20" display="AlN (ref 96)"/>
    <hyperlink ref="X132" r:id="rId21" display="Al2O3 Sapphire (ref 96)"/>
    <hyperlink ref="I171:L171" r:id="rId22" display="Diamond  K (W/m/K) (Ref 96)"/>
    <hyperlink ref="B165:C165" r:id="rId23" display="Aluminum 6063-T5 (ref 96)"/>
    <hyperlink ref="Q51:R51" r:id="rId24" display="SiC (Cesic) (ref 99)"/>
    <hyperlink ref="O185:P185" r:id="rId25" display="AlBeMet162 Ref 103"/>
  </hyperlinks>
  <pageMargins left="0.75" right="0.75" top="1" bottom="1" header="0.5" footer="0.5"/>
  <pageSetup paperSize="17" scale="74" fitToHeight="20" orientation="landscape" r:id="rId26"/>
  <headerFooter alignWithMargins="0"/>
  <drawing r:id="rId27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1:S298"/>
  <sheetViews>
    <sheetView topLeftCell="A250" workbookViewId="0">
      <selection activeCell="F274" sqref="F274"/>
    </sheetView>
  </sheetViews>
  <sheetFormatPr defaultRowHeight="12.75"/>
  <cols>
    <col min="1" max="1" width="1.5703125" customWidth="1"/>
    <col min="3" max="3" width="12.28515625" customWidth="1"/>
    <col min="5" max="5" width="11" customWidth="1"/>
    <col min="6" max="6" width="17.140625" customWidth="1"/>
    <col min="8" max="8" width="12.42578125" bestFit="1" customWidth="1"/>
    <col min="9" max="9" width="13.140625" bestFit="1" customWidth="1"/>
    <col min="10" max="10" width="10.7109375" customWidth="1"/>
    <col min="11" max="11" width="16.42578125" customWidth="1"/>
    <col min="12" max="12" width="13.7109375" customWidth="1"/>
    <col min="13" max="13" width="12" bestFit="1" customWidth="1"/>
    <col min="14" max="14" width="12.42578125" bestFit="1" customWidth="1"/>
    <col min="18" max="19" width="12" bestFit="1" customWidth="1"/>
  </cols>
  <sheetData>
    <row r="1" spans="2:18" ht="23.25">
      <c r="B1" s="135" t="s">
        <v>492</v>
      </c>
    </row>
    <row r="3" spans="2:18">
      <c r="B3" s="270" t="s">
        <v>456</v>
      </c>
      <c r="C3" s="270"/>
      <c r="E3" s="270" t="s">
        <v>457</v>
      </c>
      <c r="F3" s="270"/>
      <c r="H3" s="270" t="s">
        <v>458</v>
      </c>
      <c r="I3" s="270"/>
      <c r="K3" s="270" t="s">
        <v>459</v>
      </c>
      <c r="L3" s="270"/>
      <c r="N3" s="270" t="s">
        <v>671</v>
      </c>
      <c r="O3" s="270"/>
      <c r="Q3" s="270" t="s">
        <v>618</v>
      </c>
      <c r="R3" s="270"/>
    </row>
    <row r="4" spans="2:18">
      <c r="B4" s="62" t="s">
        <v>281</v>
      </c>
      <c r="C4" s="62" t="s">
        <v>54</v>
      </c>
      <c r="E4" s="62" t="s">
        <v>281</v>
      </c>
      <c r="F4" s="62" t="s">
        <v>54</v>
      </c>
      <c r="H4" s="62" t="s">
        <v>281</v>
      </c>
      <c r="I4" s="62" t="s">
        <v>54</v>
      </c>
      <c r="K4" s="62" t="s">
        <v>281</v>
      </c>
      <c r="L4" s="62" t="s">
        <v>54</v>
      </c>
      <c r="N4" s="62" t="s">
        <v>330</v>
      </c>
      <c r="O4" s="91" t="s">
        <v>54</v>
      </c>
      <c r="Q4" s="62" t="s">
        <v>281</v>
      </c>
      <c r="R4" s="62" t="s">
        <v>54</v>
      </c>
    </row>
    <row r="5" spans="2:18">
      <c r="B5" s="7">
        <v>25</v>
      </c>
      <c r="C5" s="7">
        <v>0</v>
      </c>
      <c r="E5" s="7">
        <v>75</v>
      </c>
      <c r="F5" s="7">
        <v>2.9999999999999999E-7</v>
      </c>
      <c r="H5" s="7">
        <v>100</v>
      </c>
      <c r="I5" s="7">
        <v>1.5999999999999999E-6</v>
      </c>
      <c r="K5" s="7">
        <v>25</v>
      </c>
      <c r="L5" s="7">
        <v>3.9999999999999998E-7</v>
      </c>
      <c r="N5" s="7">
        <v>52.5</v>
      </c>
      <c r="O5" s="9">
        <v>0</v>
      </c>
      <c r="Q5" s="9">
        <v>20</v>
      </c>
      <c r="R5" s="9">
        <v>0</v>
      </c>
    </row>
    <row r="6" spans="2:18">
      <c r="B6" s="7">
        <v>50</v>
      </c>
      <c r="C6" s="7">
        <v>-1.9999999999999999E-7</v>
      </c>
      <c r="E6" s="7">
        <v>100</v>
      </c>
      <c r="F6" s="7">
        <v>4.9999999999999998E-7</v>
      </c>
      <c r="H6" s="7">
        <v>125</v>
      </c>
      <c r="I6" s="7">
        <v>2.0999999999999998E-6</v>
      </c>
      <c r="K6" s="7">
        <v>50</v>
      </c>
      <c r="L6" s="7">
        <v>9.9999999999999995E-7</v>
      </c>
      <c r="N6" s="7">
        <v>102.5</v>
      </c>
      <c r="O6" s="9">
        <v>5.9999999999999995E-8</v>
      </c>
      <c r="Q6" s="9">
        <v>25</v>
      </c>
      <c r="R6" s="9">
        <v>0</v>
      </c>
    </row>
    <row r="7" spans="2:18">
      <c r="B7" s="7">
        <v>75</v>
      </c>
      <c r="C7" s="7">
        <v>-4.9999999999999998E-7</v>
      </c>
      <c r="E7" s="7">
        <v>150</v>
      </c>
      <c r="F7" s="7">
        <v>8.9999999999999996E-7</v>
      </c>
      <c r="H7" s="7">
        <v>150</v>
      </c>
      <c r="I7" s="7">
        <v>2.2000000000000001E-6</v>
      </c>
      <c r="K7" s="7">
        <v>100</v>
      </c>
      <c r="L7" s="7">
        <v>2.7999999999999999E-6</v>
      </c>
      <c r="N7" s="7">
        <v>150</v>
      </c>
      <c r="O7" s="9">
        <v>4.3000000000000001E-7</v>
      </c>
      <c r="Q7" s="9">
        <v>50</v>
      </c>
      <c r="R7" s="9">
        <v>-1.9999999999999999E-7</v>
      </c>
    </row>
    <row r="8" spans="2:18">
      <c r="B8" s="7">
        <v>100</v>
      </c>
      <c r="C8" s="7">
        <v>-3.9999999999999998E-7</v>
      </c>
      <c r="E8" s="7">
        <v>200</v>
      </c>
      <c r="F8" s="7">
        <v>1.9E-6</v>
      </c>
      <c r="H8" s="7">
        <v>175</v>
      </c>
      <c r="I8" s="7">
        <v>2.0999999999999998E-6</v>
      </c>
      <c r="K8" s="7">
        <v>200</v>
      </c>
      <c r="L8" s="7">
        <v>4.6E-6</v>
      </c>
      <c r="N8" s="7">
        <v>200</v>
      </c>
      <c r="O8" s="9">
        <v>1.0699999999999999E-6</v>
      </c>
      <c r="Q8" s="9">
        <v>75</v>
      </c>
      <c r="R8" s="9">
        <v>-4.9999999999999998E-7</v>
      </c>
    </row>
    <row r="9" spans="2:18">
      <c r="B9" s="7">
        <v>150</v>
      </c>
      <c r="C9" s="7">
        <v>4.9999999999999998E-7</v>
      </c>
      <c r="E9" s="7">
        <v>250</v>
      </c>
      <c r="F9" s="7">
        <v>1.9999999999999999E-6</v>
      </c>
      <c r="H9" s="7">
        <v>200</v>
      </c>
      <c r="I9" s="7">
        <v>1.7E-6</v>
      </c>
      <c r="K9" s="7">
        <v>293</v>
      </c>
      <c r="L9" s="7">
        <v>4.7999999999999998E-6</v>
      </c>
      <c r="N9" s="77">
        <v>260</v>
      </c>
      <c r="O9" s="9">
        <v>2.0899999999999999E-6</v>
      </c>
      <c r="Q9" s="9">
        <v>100</v>
      </c>
      <c r="R9" s="9">
        <v>-3.9999999999999998E-7</v>
      </c>
    </row>
    <row r="10" spans="2:18">
      <c r="B10" s="7">
        <v>200</v>
      </c>
      <c r="C10" s="7">
        <v>1.5E-6</v>
      </c>
      <c r="E10" s="7">
        <v>293</v>
      </c>
      <c r="F10" s="7">
        <v>2.5000000000000002E-6</v>
      </c>
      <c r="H10" s="7">
        <v>225</v>
      </c>
      <c r="I10" s="7">
        <v>1.5999999999999999E-6</v>
      </c>
      <c r="N10" s="7">
        <v>353</v>
      </c>
      <c r="O10" s="9">
        <v>2.74E-6</v>
      </c>
      <c r="Q10" s="9">
        <v>150</v>
      </c>
      <c r="R10" s="9">
        <v>4.9999999999999998E-7</v>
      </c>
    </row>
    <row r="11" spans="2:18">
      <c r="B11" s="7">
        <v>250</v>
      </c>
      <c r="C11" s="7">
        <v>2.2000000000000001E-6</v>
      </c>
      <c r="H11" s="7">
        <v>250</v>
      </c>
      <c r="I11" s="7">
        <v>1.5E-6</v>
      </c>
      <c r="Q11" s="9">
        <v>200</v>
      </c>
      <c r="R11" s="9">
        <v>1.5E-6</v>
      </c>
    </row>
    <row r="12" spans="2:18">
      <c r="B12" s="7">
        <v>293</v>
      </c>
      <c r="C12" s="7">
        <v>2.6000000000000001E-6</v>
      </c>
      <c r="H12" s="7">
        <v>275</v>
      </c>
      <c r="I12" s="7">
        <v>1.5999999999999999E-6</v>
      </c>
      <c r="Q12" s="9">
        <v>250</v>
      </c>
      <c r="R12" s="9">
        <v>2.2000000000000001E-6</v>
      </c>
    </row>
    <row r="13" spans="2:18">
      <c r="H13" s="7">
        <v>293</v>
      </c>
      <c r="I13" s="7">
        <v>1.5E-6</v>
      </c>
      <c r="Q13" s="9">
        <v>293</v>
      </c>
      <c r="R13" s="9">
        <v>2.6000000000000001E-6</v>
      </c>
    </row>
    <row r="14" spans="2:18">
      <c r="B14" s="270" t="s">
        <v>456</v>
      </c>
      <c r="C14" s="270"/>
      <c r="Q14" s="9">
        <v>400</v>
      </c>
      <c r="R14" s="9">
        <v>3.1999999999999999E-6</v>
      </c>
    </row>
    <row r="15" spans="2:18">
      <c r="B15" s="62" t="s">
        <v>281</v>
      </c>
      <c r="C15" s="62" t="s">
        <v>54</v>
      </c>
      <c r="Q15" s="9">
        <v>500</v>
      </c>
      <c r="R15" s="9">
        <v>3.4999999999999999E-6</v>
      </c>
    </row>
    <row r="16" spans="2:18">
      <c r="B16" s="7">
        <v>25</v>
      </c>
      <c r="C16" s="7">
        <v>0</v>
      </c>
      <c r="E16" s="269" t="s">
        <v>460</v>
      </c>
      <c r="F16" s="269"/>
      <c r="K16" s="271" t="s">
        <v>464</v>
      </c>
      <c r="L16" s="270"/>
      <c r="N16" s="271" t="s">
        <v>556</v>
      </c>
      <c r="O16" s="270"/>
      <c r="Q16" s="9">
        <v>600</v>
      </c>
      <c r="R16" s="9">
        <v>3.7000000000000002E-6</v>
      </c>
    </row>
    <row r="17" spans="2:18">
      <c r="B17" s="7">
        <v>50</v>
      </c>
      <c r="C17" s="7">
        <v>-1.9999999999999999E-7</v>
      </c>
      <c r="E17" s="62" t="s">
        <v>281</v>
      </c>
      <c r="F17" s="62" t="s">
        <v>54</v>
      </c>
      <c r="K17" s="62" t="s">
        <v>330</v>
      </c>
      <c r="L17" s="91" t="s">
        <v>54</v>
      </c>
      <c r="N17" s="62" t="s">
        <v>330</v>
      </c>
      <c r="O17" s="91" t="s">
        <v>54</v>
      </c>
      <c r="Q17" s="9">
        <v>700</v>
      </c>
      <c r="R17" s="9">
        <v>3.8999999999999999E-6</v>
      </c>
    </row>
    <row r="18" spans="2:18">
      <c r="B18" s="7">
        <v>75</v>
      </c>
      <c r="C18" s="7">
        <v>-4.9999999999999998E-7</v>
      </c>
      <c r="E18" s="7">
        <v>82</v>
      </c>
      <c r="F18" s="7">
        <v>7.2200000000000003E-6</v>
      </c>
      <c r="K18" s="7">
        <f>273.15-140</f>
        <v>133.14999999999998</v>
      </c>
      <c r="L18" s="9">
        <v>3.9999999999999998E-7</v>
      </c>
      <c r="N18" s="7">
        <v>100</v>
      </c>
      <c r="O18" s="9">
        <v>-8.9999999999999999E-8</v>
      </c>
      <c r="Q18" s="9">
        <v>800</v>
      </c>
      <c r="R18" s="9">
        <v>4.0999999999999997E-6</v>
      </c>
    </row>
    <row r="19" spans="2:18">
      <c r="B19" s="7">
        <v>100</v>
      </c>
      <c r="C19" s="7">
        <v>-3.9999999999999998E-7</v>
      </c>
      <c r="E19" s="7">
        <v>96</v>
      </c>
      <c r="F19" s="7">
        <v>9.0100000000000001E-6</v>
      </c>
      <c r="K19" s="7">
        <f>273.15-100</f>
        <v>173.14999999999998</v>
      </c>
      <c r="L19" s="9">
        <v>7.9999999999999996E-7</v>
      </c>
      <c r="N19" s="7">
        <v>150</v>
      </c>
      <c r="O19" s="9">
        <v>5.7999999999999995E-7</v>
      </c>
      <c r="Q19" s="9">
        <v>900</v>
      </c>
      <c r="R19" s="9">
        <v>4.2999999999999995E-6</v>
      </c>
    </row>
    <row r="20" spans="2:18">
      <c r="B20" s="7">
        <v>150</v>
      </c>
      <c r="C20" s="7">
        <v>4.9999999999999998E-7</v>
      </c>
      <c r="E20" s="7">
        <v>115</v>
      </c>
      <c r="F20" s="7">
        <v>1.0530000000000001E-5</v>
      </c>
      <c r="K20" s="7">
        <f>273.15</f>
        <v>273.14999999999998</v>
      </c>
      <c r="L20" s="9">
        <v>1.9E-6</v>
      </c>
      <c r="N20" s="7">
        <v>200</v>
      </c>
      <c r="O20" s="9">
        <v>1.24E-6</v>
      </c>
      <c r="Q20" s="9">
        <v>1000</v>
      </c>
      <c r="R20" s="9">
        <v>4.4000000000000002E-6</v>
      </c>
    </row>
    <row r="21" spans="2:18">
      <c r="B21" s="7">
        <v>200</v>
      </c>
      <c r="C21" s="7">
        <v>1.5E-6</v>
      </c>
      <c r="E21" s="7">
        <v>144</v>
      </c>
      <c r="F21" s="7">
        <v>1.2279999999999999E-5</v>
      </c>
      <c r="K21" s="7">
        <f>273.15+200</f>
        <v>473.15</v>
      </c>
      <c r="L21" s="9">
        <v>3.7000000000000002E-6</v>
      </c>
      <c r="N21" s="7">
        <v>250</v>
      </c>
      <c r="O21" s="9">
        <v>1.8899999999999999E-6</v>
      </c>
      <c r="Q21" s="9">
        <v>1200</v>
      </c>
      <c r="R21" s="9">
        <v>4.5999999999999992E-6</v>
      </c>
    </row>
    <row r="22" spans="2:18">
      <c r="B22" s="7">
        <v>250</v>
      </c>
      <c r="C22" s="7">
        <v>2.2000000000000001E-6</v>
      </c>
      <c r="E22" s="7">
        <v>171</v>
      </c>
      <c r="F22" s="7">
        <v>1.36E-5</v>
      </c>
      <c r="N22" s="77">
        <v>300</v>
      </c>
      <c r="O22" s="9">
        <v>2.52E-6</v>
      </c>
      <c r="Q22" s="9">
        <v>1400</v>
      </c>
      <c r="R22" s="9">
        <v>4.5999999999999992E-6</v>
      </c>
    </row>
    <row r="23" spans="2:18">
      <c r="B23" s="7">
        <v>293</v>
      </c>
      <c r="C23" s="7">
        <v>2.6000000000000001E-6</v>
      </c>
      <c r="E23" s="7">
        <v>193</v>
      </c>
      <c r="F23" s="7">
        <v>1.456E-5</v>
      </c>
      <c r="Q23" s="9">
        <v>1600</v>
      </c>
      <c r="R23" s="9">
        <v>4.6999999999999999E-6</v>
      </c>
    </row>
    <row r="24" spans="2:18">
      <c r="E24" s="7">
        <v>222</v>
      </c>
      <c r="F24" s="7">
        <v>1.524E-5</v>
      </c>
    </row>
    <row r="25" spans="2:18">
      <c r="E25" s="7">
        <v>253</v>
      </c>
      <c r="F25" s="7">
        <v>1.5500000000000001E-5</v>
      </c>
    </row>
    <row r="26" spans="2:18">
      <c r="E26" s="7">
        <v>280</v>
      </c>
      <c r="F26" s="7">
        <v>1.5979999999999999E-5</v>
      </c>
    </row>
    <row r="27" spans="2:18">
      <c r="E27" s="7">
        <v>293</v>
      </c>
      <c r="F27" s="7">
        <v>1.615E-5</v>
      </c>
    </row>
    <row r="28" spans="2:18">
      <c r="E28" s="7">
        <v>299</v>
      </c>
      <c r="F28" s="7">
        <v>1.615E-5</v>
      </c>
    </row>
    <row r="32" spans="2:18">
      <c r="C32" s="269" t="s">
        <v>461</v>
      </c>
      <c r="D32" s="269"/>
      <c r="E32" s="269"/>
      <c r="F32" s="269"/>
      <c r="G32" s="269"/>
      <c r="H32" s="269"/>
      <c r="I32" s="269"/>
      <c r="J32" s="269"/>
      <c r="K32" s="269"/>
      <c r="L32" s="269"/>
    </row>
    <row r="33" spans="2:12">
      <c r="B33" s="78" t="s">
        <v>281</v>
      </c>
      <c r="C33" s="62" t="s">
        <v>312</v>
      </c>
      <c r="D33" s="62" t="s">
        <v>313</v>
      </c>
      <c r="E33" s="62" t="s">
        <v>314</v>
      </c>
      <c r="F33" s="62" t="s">
        <v>200</v>
      </c>
      <c r="G33" s="62" t="s">
        <v>315</v>
      </c>
      <c r="H33" s="62" t="s">
        <v>316</v>
      </c>
      <c r="I33" s="62" t="s">
        <v>317</v>
      </c>
      <c r="J33" s="62" t="s">
        <v>318</v>
      </c>
      <c r="K33" s="62" t="s">
        <v>319</v>
      </c>
      <c r="L33" s="62" t="s">
        <v>320</v>
      </c>
    </row>
    <row r="34" spans="2:12">
      <c r="B34" s="7">
        <v>5</v>
      </c>
      <c r="C34" s="7">
        <v>-2.1919412500000005E-6</v>
      </c>
      <c r="D34" s="7">
        <v>-3.1273895999999999E-6</v>
      </c>
      <c r="E34" s="7">
        <v>-1.6632729999999999E-6</v>
      </c>
      <c r="F34" s="7">
        <v>-3.5855299500000007E-6</v>
      </c>
      <c r="G34" s="7">
        <v>-1.6923015E-6</v>
      </c>
      <c r="H34" s="7">
        <v>-1.7565370999999997E-6</v>
      </c>
      <c r="I34" s="7">
        <v>3.2012530000000001E-5</v>
      </c>
      <c r="J34" s="7">
        <v>1.3679805000000005E-6</v>
      </c>
      <c r="K34" s="7">
        <v>4.5563389999999999E-6</v>
      </c>
      <c r="L34" s="7">
        <v>2.3687805000000001E-6</v>
      </c>
    </row>
    <row r="35" spans="2:12">
      <c r="B35" s="7">
        <v>10</v>
      </c>
      <c r="C35" s="7">
        <v>-1.3349650000000002E-6</v>
      </c>
      <c r="D35" s="7">
        <v>-2.2340627999999997E-6</v>
      </c>
      <c r="E35" s="7">
        <v>-1.119292E-6</v>
      </c>
      <c r="F35" s="7">
        <v>-2.5664496000000005E-6</v>
      </c>
      <c r="G35" s="7">
        <v>-1.224406E-6</v>
      </c>
      <c r="H35" s="7">
        <v>-9.8816679999999976E-7</v>
      </c>
      <c r="I35" s="7">
        <v>3.1353720000000006E-5</v>
      </c>
      <c r="J35" s="7">
        <v>4.1812840000000005E-6</v>
      </c>
      <c r="K35" s="7">
        <v>5.3657560000000008E-6</v>
      </c>
      <c r="L35" s="7">
        <v>2.6687220000000001E-6</v>
      </c>
    </row>
    <row r="36" spans="2:12">
      <c r="B36" s="7">
        <v>25</v>
      </c>
      <c r="C36" s="7">
        <v>1.1454687500000002E-6</v>
      </c>
      <c r="D36" s="7">
        <v>2.6505000000000059E-7</v>
      </c>
      <c r="E36" s="7">
        <v>4.4817500000000027E-7</v>
      </c>
      <c r="F36" s="7">
        <v>2.4650624999999979E-7</v>
      </c>
      <c r="G36" s="7">
        <v>1.1446250000000001E-7</v>
      </c>
      <c r="H36" s="7">
        <v>1.0701125E-6</v>
      </c>
      <c r="I36" s="7">
        <v>3.0029250000000004E-5</v>
      </c>
      <c r="J36" s="7">
        <v>1.19625625E-5</v>
      </c>
      <c r="K36" s="7">
        <v>7.7584750000000003E-6</v>
      </c>
      <c r="L36" s="7">
        <v>3.5395125000000002E-6</v>
      </c>
    </row>
    <row r="37" spans="2:12">
      <c r="B37" s="7">
        <v>50</v>
      </c>
      <c r="C37" s="7">
        <v>4.977875000000001E-6</v>
      </c>
      <c r="D37" s="7">
        <v>3.8611500000000011E-6</v>
      </c>
      <c r="E37" s="7">
        <v>2.8457000000000006E-6</v>
      </c>
      <c r="F37" s="7">
        <v>4.1807999999999998E-6</v>
      </c>
      <c r="G37" s="7">
        <v>2.1298500000000005E-6</v>
      </c>
      <c r="H37" s="7">
        <v>3.7481500000000003E-6</v>
      </c>
      <c r="I37" s="7">
        <v>2.9995E-5</v>
      </c>
      <c r="J37" s="7">
        <v>2.2948500000000006E-5</v>
      </c>
      <c r="K37" s="7">
        <v>1.1627900000000001E-5</v>
      </c>
      <c r="L37" s="7">
        <v>4.894050000000001E-6</v>
      </c>
    </row>
    <row r="38" spans="2:12">
      <c r="B38" s="7">
        <v>75</v>
      </c>
      <c r="C38" s="7">
        <v>8.4332187499999988E-6</v>
      </c>
      <c r="D38" s="7">
        <v>6.8069250000000001E-6</v>
      </c>
      <c r="E38" s="7">
        <v>4.9745750000000006E-6</v>
      </c>
      <c r="F38" s="7">
        <v>7.2815437499999976E-6</v>
      </c>
      <c r="G38" s="7">
        <v>3.8751625000000005E-6</v>
      </c>
      <c r="H38" s="7">
        <v>5.6126625000000013E-6</v>
      </c>
      <c r="I38" s="7">
        <v>3.267725000000001E-5</v>
      </c>
      <c r="J38" s="7">
        <v>3.1839687499999995E-5</v>
      </c>
      <c r="K38" s="7">
        <v>1.5349275000000001E-5</v>
      </c>
      <c r="L38" s="7">
        <v>6.1276125000000004E-6</v>
      </c>
    </row>
    <row r="39" spans="2:12">
      <c r="B39" s="7">
        <v>100</v>
      </c>
      <c r="C39" s="7">
        <v>1.1511500000000002E-5</v>
      </c>
      <c r="D39" s="7">
        <v>9.172800000000003E-6</v>
      </c>
      <c r="E39" s="7">
        <v>6.834800000000001E-6</v>
      </c>
      <c r="F39" s="7">
        <v>9.6744000000000001E-6</v>
      </c>
      <c r="G39" s="7">
        <v>5.3503999999999996E-6</v>
      </c>
      <c r="H39" s="7">
        <v>6.8102000000000005E-6</v>
      </c>
      <c r="I39" s="7">
        <v>3.8075999999999999E-5</v>
      </c>
      <c r="J39" s="7">
        <v>3.9078999999999996E-5</v>
      </c>
      <c r="K39" s="7">
        <v>1.8922600000000001E-5</v>
      </c>
      <c r="L39" s="7">
        <v>7.2402000000000014E-6</v>
      </c>
    </row>
    <row r="40" spans="2:12">
      <c r="B40" s="7">
        <v>125</v>
      </c>
      <c r="C40" s="7">
        <v>1.4212718750000002E-5</v>
      </c>
      <c r="D40" s="7">
        <v>1.1029199999999999E-5</v>
      </c>
      <c r="E40" s="7">
        <v>8.4263749999999994E-6</v>
      </c>
      <c r="F40" s="7">
        <v>1.1485031249999998E-5</v>
      </c>
      <c r="G40" s="7">
        <v>6.5555625000000012E-6</v>
      </c>
      <c r="H40" s="7">
        <v>7.4873125000000012E-6</v>
      </c>
      <c r="I40" s="7">
        <v>4.6191250000000009E-5</v>
      </c>
      <c r="J40" s="7">
        <v>4.5109312499999989E-5</v>
      </c>
      <c r="K40" s="7">
        <v>2.2347875000000002E-5</v>
      </c>
      <c r="L40" s="7">
        <v>8.2318125000000006E-6</v>
      </c>
    </row>
    <row r="41" spans="2:12">
      <c r="B41" s="7">
        <v>150</v>
      </c>
      <c r="C41" s="7">
        <v>1.6536874999999999E-5</v>
      </c>
      <c r="D41" s="7">
        <v>1.2446550000000002E-5</v>
      </c>
      <c r="E41" s="7">
        <v>9.7493000000000017E-6</v>
      </c>
      <c r="F41" s="7">
        <v>1.2839099999999997E-5</v>
      </c>
      <c r="G41" s="7">
        <v>7.4906499999999992E-6</v>
      </c>
      <c r="H41" s="7">
        <v>7.7905499999999995E-6</v>
      </c>
      <c r="I41" s="7">
        <v>5.7023000000000013E-5</v>
      </c>
      <c r="J41" s="7">
        <v>5.0373500000000001E-5</v>
      </c>
      <c r="K41" s="7">
        <v>2.56251E-5</v>
      </c>
      <c r="L41" s="7">
        <v>9.1024499999999996E-6</v>
      </c>
    </row>
    <row r="42" spans="2:12">
      <c r="B42" s="7">
        <v>175</v>
      </c>
      <c r="C42" s="7">
        <v>1.8483968749999997E-5</v>
      </c>
      <c r="D42" s="7">
        <v>1.3495274999999999E-5</v>
      </c>
      <c r="E42" s="7">
        <v>1.0803575000000001E-5</v>
      </c>
      <c r="F42" s="7">
        <v>1.3862268749999999E-5</v>
      </c>
      <c r="G42" s="7">
        <v>8.1556624999999996E-6</v>
      </c>
      <c r="H42" s="7">
        <v>7.8664624999999957E-6</v>
      </c>
      <c r="I42" s="7">
        <v>7.0571250000000003E-5</v>
      </c>
      <c r="J42" s="7">
        <v>5.5314437499999999E-5</v>
      </c>
      <c r="K42" s="7">
        <v>2.8754275000000002E-5</v>
      </c>
      <c r="L42" s="7">
        <v>9.8521124999999993E-6</v>
      </c>
    </row>
    <row r="43" spans="2:12">
      <c r="B43" s="7">
        <v>200</v>
      </c>
      <c r="C43" s="7">
        <v>2.0054000000000005E-5</v>
      </c>
      <c r="D43" s="7">
        <v>1.4245800000000003E-5</v>
      </c>
      <c r="E43" s="7">
        <v>1.1589200000000002E-5</v>
      </c>
      <c r="F43" s="7">
        <v>1.4680199999999997E-5</v>
      </c>
      <c r="G43" s="7">
        <v>8.5505999999999991E-6</v>
      </c>
      <c r="H43" s="7">
        <v>7.8615999999999977E-6</v>
      </c>
      <c r="I43" s="7">
        <v>8.6836000000000007E-5</v>
      </c>
      <c r="J43" s="7">
        <v>6.037499999999999E-5</v>
      </c>
      <c r="K43" s="7">
        <v>3.1735400000000001E-5</v>
      </c>
      <c r="L43" s="7">
        <v>1.04808E-5</v>
      </c>
    </row>
    <row r="44" spans="2:12">
      <c r="B44" s="7">
        <v>225</v>
      </c>
      <c r="C44" s="7">
        <v>2.1246968750000005E-5</v>
      </c>
      <c r="D44" s="7">
        <v>1.4768550000000001E-5</v>
      </c>
      <c r="E44" s="7">
        <v>1.2106174999999999E-5</v>
      </c>
      <c r="F44" s="7">
        <v>1.5418556250000007E-5</v>
      </c>
      <c r="G44" s="7">
        <v>8.6754624999999976E-6</v>
      </c>
      <c r="H44" s="7">
        <v>7.9225125E-6</v>
      </c>
      <c r="I44" s="7">
        <v>1.0581725000000001E-4</v>
      </c>
      <c r="J44" s="7">
        <v>6.5998062499999995E-5</v>
      </c>
      <c r="K44" s="7">
        <v>3.4568475000000004E-5</v>
      </c>
      <c r="L44" s="7">
        <v>1.0988512500000001E-5</v>
      </c>
    </row>
    <row r="45" spans="2:12">
      <c r="B45" s="7">
        <v>250</v>
      </c>
      <c r="C45" s="7">
        <v>2.2062875E-5</v>
      </c>
      <c r="D45" s="7">
        <v>1.5133950000000001E-5</v>
      </c>
      <c r="E45" s="7">
        <v>1.23545E-5</v>
      </c>
      <c r="F45" s="7">
        <v>1.6203000000000001E-5</v>
      </c>
      <c r="G45" s="7">
        <v>8.5302500000000036E-6</v>
      </c>
      <c r="H45" s="7">
        <v>8.1957500000000003E-6</v>
      </c>
      <c r="I45" s="7">
        <v>1.2751500000000003E-4</v>
      </c>
      <c r="J45" s="7">
        <v>7.2626499999999986E-5</v>
      </c>
      <c r="K45" s="7">
        <v>3.7253500000000005E-5</v>
      </c>
      <c r="L45" s="7">
        <v>1.1375249999999999E-5</v>
      </c>
    </row>
    <row r="46" spans="2:12">
      <c r="B46" s="7">
        <v>275</v>
      </c>
      <c r="C46" s="7">
        <v>2.2501718749999998E-5</v>
      </c>
      <c r="D46" s="7">
        <v>1.5412424999999997E-5</v>
      </c>
      <c r="E46" s="7">
        <v>1.2334175000000001E-5</v>
      </c>
      <c r="F46" s="7">
        <v>1.7159193749999994E-5</v>
      </c>
      <c r="G46" s="7">
        <v>8.1149625000000035E-6</v>
      </c>
      <c r="H46" s="7">
        <v>8.8278625000000014E-6</v>
      </c>
      <c r="I46" s="7">
        <v>1.5192925000000001E-4</v>
      </c>
      <c r="J46" s="7">
        <v>8.0703187500000026E-5</v>
      </c>
      <c r="K46" s="7">
        <v>3.9790474999999996E-5</v>
      </c>
      <c r="L46" s="7">
        <v>1.16410125E-5</v>
      </c>
    </row>
    <row r="47" spans="2:12">
      <c r="B47" s="7">
        <v>300</v>
      </c>
      <c r="C47" s="7">
        <v>2.2563499999999995E-5</v>
      </c>
      <c r="D47" s="7">
        <v>1.56744E-5</v>
      </c>
      <c r="E47" s="7">
        <v>1.2045200000000003E-5</v>
      </c>
      <c r="F47" s="7">
        <v>1.8412800000000001E-5</v>
      </c>
      <c r="G47" s="7">
        <v>7.4296000000000017E-6</v>
      </c>
      <c r="H47" s="7">
        <v>9.9654000000000046E-6</v>
      </c>
      <c r="I47" s="7">
        <v>1.7906000000000004E-4</v>
      </c>
      <c r="J47" s="7">
        <v>9.0671000000000027E-5</v>
      </c>
      <c r="K47" s="7">
        <v>4.2179400000000005E-5</v>
      </c>
      <c r="L47" s="7">
        <v>1.1785799999999998E-5</v>
      </c>
    </row>
    <row r="49" spans="2:9">
      <c r="C49" s="269" t="s">
        <v>462</v>
      </c>
      <c r="D49" s="269"/>
      <c r="E49" s="269"/>
      <c r="F49" s="269"/>
      <c r="H49" s="269" t="s">
        <v>463</v>
      </c>
      <c r="I49" s="269"/>
    </row>
    <row r="50" spans="2:9">
      <c r="B50" s="62" t="s">
        <v>281</v>
      </c>
      <c r="C50" s="62" t="s">
        <v>324</v>
      </c>
      <c r="D50" s="62" t="s">
        <v>325</v>
      </c>
      <c r="E50" s="62" t="s">
        <v>326</v>
      </c>
      <c r="F50" s="62" t="s">
        <v>327</v>
      </c>
      <c r="H50" s="62" t="s">
        <v>281</v>
      </c>
      <c r="I50" s="62" t="s">
        <v>54</v>
      </c>
    </row>
    <row r="51" spans="2:9">
      <c r="B51" s="7">
        <v>77</v>
      </c>
      <c r="C51" s="7">
        <v>1.4E-5</v>
      </c>
      <c r="D51" s="7">
        <v>1.38E-5</v>
      </c>
      <c r="E51" s="7">
        <v>1.2999999999999999E-5</v>
      </c>
      <c r="F51" s="7">
        <v>1.42E-5</v>
      </c>
      <c r="H51" s="7">
        <v>50</v>
      </c>
      <c r="I51" s="7">
        <v>4.6399999999999996E-6</v>
      </c>
    </row>
    <row r="52" spans="2:9">
      <c r="B52" s="7">
        <v>83</v>
      </c>
      <c r="C52" s="7">
        <v>1.45E-5</v>
      </c>
      <c r="D52" s="7">
        <v>1.3890000000000001E-5</v>
      </c>
      <c r="E52" s="7">
        <v>1.34E-5</v>
      </c>
      <c r="F52" s="7">
        <v>1.4399999999999999E-5</v>
      </c>
      <c r="H52" s="7">
        <v>100</v>
      </c>
      <c r="I52" s="7">
        <v>1.1610000000000001E-5</v>
      </c>
    </row>
    <row r="53" spans="2:9">
      <c r="B53" s="7">
        <v>93</v>
      </c>
      <c r="C53" s="7">
        <v>1.52E-5</v>
      </c>
      <c r="D53" s="7">
        <v>1.4E-5</v>
      </c>
      <c r="E53" s="7">
        <v>1.4100000000000001E-5</v>
      </c>
      <c r="F53" s="7">
        <v>1.4600000000000001E-5</v>
      </c>
      <c r="H53" s="7">
        <v>150</v>
      </c>
      <c r="I53" s="7">
        <v>1.518E-5</v>
      </c>
    </row>
    <row r="54" spans="2:9">
      <c r="B54" s="7">
        <v>103</v>
      </c>
      <c r="C54" s="7">
        <v>1.5699999999999999E-5</v>
      </c>
      <c r="D54" s="7">
        <v>1.4049999999999999E-5</v>
      </c>
      <c r="E54" s="7">
        <v>1.4800000000000001E-5</v>
      </c>
      <c r="F54" s="7">
        <v>1.4800000000000001E-5</v>
      </c>
      <c r="H54" s="7">
        <v>200</v>
      </c>
      <c r="I54" s="7">
        <v>1.6589999999999999E-5</v>
      </c>
    </row>
    <row r="55" spans="2:9">
      <c r="B55" s="7">
        <v>113</v>
      </c>
      <c r="C55" s="7">
        <v>1.6200000000000001E-5</v>
      </c>
      <c r="D55" s="7">
        <v>1.4100000000000001E-5</v>
      </c>
      <c r="E55" s="7">
        <v>1.539E-5</v>
      </c>
      <c r="F55" s="7">
        <v>1.499E-5</v>
      </c>
      <c r="H55" s="7">
        <v>250</v>
      </c>
      <c r="I55" s="7">
        <v>1.7859999999999998E-5</v>
      </c>
    </row>
    <row r="56" spans="2:9">
      <c r="B56" s="7">
        <v>123</v>
      </c>
      <c r="C56" s="7">
        <v>1.649E-5</v>
      </c>
      <c r="D56" s="7">
        <v>1.415E-5</v>
      </c>
      <c r="E56" s="7">
        <v>1.59E-5</v>
      </c>
      <c r="F56" s="7">
        <v>1.52E-5</v>
      </c>
      <c r="H56" s="7">
        <v>300</v>
      </c>
      <c r="I56" s="7">
        <v>1.821E-5</v>
      </c>
    </row>
    <row r="57" spans="2:9">
      <c r="B57" s="7">
        <v>133</v>
      </c>
      <c r="C57" s="7">
        <v>1.679E-5</v>
      </c>
      <c r="D57" s="7">
        <v>1.42E-5</v>
      </c>
      <c r="E57" s="7">
        <v>1.6399999999999999E-5</v>
      </c>
      <c r="F57" s="7">
        <v>1.539E-5</v>
      </c>
    </row>
    <row r="58" spans="2:9">
      <c r="B58" s="7">
        <v>143</v>
      </c>
      <c r="C58" s="7">
        <v>1.7E-5</v>
      </c>
      <c r="D58" s="7">
        <v>1.4399999999999999E-5</v>
      </c>
      <c r="E58" s="7">
        <v>1.679E-5</v>
      </c>
      <c r="F58" s="7">
        <v>1.56E-5</v>
      </c>
    </row>
    <row r="59" spans="2:9">
      <c r="B59" s="7">
        <v>153</v>
      </c>
      <c r="C59" s="7">
        <v>1.73E-5</v>
      </c>
      <c r="D59" s="7">
        <v>1.4600000000000001E-5</v>
      </c>
      <c r="E59" s="7">
        <v>1.719E-5</v>
      </c>
      <c r="F59" s="7">
        <v>1.579E-5</v>
      </c>
    </row>
    <row r="60" spans="2:9">
      <c r="B60" s="7">
        <v>163</v>
      </c>
      <c r="C60" s="7">
        <v>1.77E-5</v>
      </c>
      <c r="D60" s="7">
        <v>1.5699999999999999E-5</v>
      </c>
      <c r="E60" s="7">
        <v>1.77E-5</v>
      </c>
      <c r="F60" s="7">
        <v>1.609E-5</v>
      </c>
    </row>
    <row r="61" spans="2:9">
      <c r="B61" s="7">
        <v>173</v>
      </c>
      <c r="C61" s="7">
        <v>1.84E-5</v>
      </c>
      <c r="D61" s="7">
        <v>1.56E-5</v>
      </c>
      <c r="E61" s="7">
        <v>1.8099999999999999E-5</v>
      </c>
      <c r="F61" s="7">
        <v>1.6399999999999999E-5</v>
      </c>
    </row>
    <row r="62" spans="2:9">
      <c r="B62" s="7">
        <v>183</v>
      </c>
      <c r="C62" s="7">
        <v>1.9089999999999998E-5</v>
      </c>
      <c r="D62" s="7">
        <v>1.649E-5</v>
      </c>
      <c r="E62" s="7">
        <v>1.88E-5</v>
      </c>
      <c r="F62" s="7">
        <v>1.679E-5</v>
      </c>
    </row>
    <row r="63" spans="2:9">
      <c r="B63" s="7">
        <v>193</v>
      </c>
      <c r="C63" s="7">
        <v>1.9789999999999999E-5</v>
      </c>
      <c r="D63" s="7">
        <v>1.73E-5</v>
      </c>
      <c r="E63" s="7">
        <v>1.95E-5</v>
      </c>
      <c r="F63" s="7">
        <v>1.73E-5</v>
      </c>
    </row>
    <row r="64" spans="2:9">
      <c r="B64" s="7">
        <v>203</v>
      </c>
      <c r="C64" s="7">
        <v>2.0190000000000002E-5</v>
      </c>
      <c r="D64" s="7">
        <v>1.8099999999999999E-5</v>
      </c>
      <c r="E64" s="7">
        <v>2.0089999999999999E-5</v>
      </c>
      <c r="F64" s="7">
        <v>1.7799999999999999E-5</v>
      </c>
    </row>
    <row r="65" spans="2:6">
      <c r="B65" s="7">
        <v>213</v>
      </c>
      <c r="C65" s="7">
        <v>2.0400000000000001E-5</v>
      </c>
      <c r="D65" s="7">
        <v>1.8499999999999999E-5</v>
      </c>
      <c r="E65" s="7">
        <v>2.0299999999999999E-5</v>
      </c>
      <c r="F65" s="7">
        <v>1.8499999999999999E-5</v>
      </c>
    </row>
    <row r="66" spans="2:6">
      <c r="B66" s="7">
        <v>223</v>
      </c>
      <c r="C66" s="7">
        <v>2.05E-5</v>
      </c>
      <c r="D66" s="7">
        <v>1.8689999999999999E-5</v>
      </c>
      <c r="E66" s="7">
        <v>2.035E-5</v>
      </c>
      <c r="F66" s="7">
        <v>1.9089999999999998E-5</v>
      </c>
    </row>
    <row r="67" spans="2:6">
      <c r="B67" s="7">
        <v>233</v>
      </c>
      <c r="C67" s="7">
        <v>2.054E-5</v>
      </c>
      <c r="D67" s="7">
        <v>1.88E-5</v>
      </c>
      <c r="E67" s="7">
        <v>2.0400000000000001E-5</v>
      </c>
      <c r="F67" s="7">
        <v>1.9599999999999999E-5</v>
      </c>
    </row>
    <row r="68" spans="2:6">
      <c r="B68" s="7">
        <v>243</v>
      </c>
      <c r="C68" s="7">
        <v>2.0599999999999999E-5</v>
      </c>
      <c r="D68" s="7">
        <v>1.8899999999999999E-5</v>
      </c>
      <c r="E68" s="7">
        <v>2.0449999999999999E-5</v>
      </c>
      <c r="F68" s="7">
        <v>1.9700000000000001E-5</v>
      </c>
    </row>
    <row r="69" spans="2:6">
      <c r="B69" s="7">
        <v>253</v>
      </c>
      <c r="C69" s="7">
        <v>2.0699999999999998E-5</v>
      </c>
      <c r="D69" s="7">
        <v>1.895E-5</v>
      </c>
      <c r="E69" s="7">
        <v>2.05E-5</v>
      </c>
      <c r="F69" s="7">
        <v>1.9789999999999999E-5</v>
      </c>
    </row>
    <row r="70" spans="2:6">
      <c r="B70" s="7">
        <v>263</v>
      </c>
      <c r="C70" s="7">
        <v>2.075E-5</v>
      </c>
      <c r="D70" s="7">
        <v>1.9000000000000001E-5</v>
      </c>
      <c r="E70" s="7">
        <v>2.054E-5</v>
      </c>
      <c r="F70" s="7">
        <v>1.9899999999999999E-5</v>
      </c>
    </row>
    <row r="71" spans="2:6">
      <c r="B71" s="7">
        <v>273</v>
      </c>
      <c r="C71" s="7">
        <v>2.0789999999999999E-5</v>
      </c>
      <c r="D71" s="7">
        <v>1.9049999999999999E-5</v>
      </c>
      <c r="E71" s="7">
        <v>2.0599999999999999E-5</v>
      </c>
      <c r="F71" s="7">
        <v>2.0000000000000002E-5</v>
      </c>
    </row>
    <row r="72" spans="2:6">
      <c r="B72" s="7">
        <v>283</v>
      </c>
      <c r="C72" s="7">
        <v>2.084E-5</v>
      </c>
      <c r="D72" s="7">
        <v>1.9190000000000001E-5</v>
      </c>
      <c r="E72" s="7">
        <v>2.065E-5</v>
      </c>
      <c r="F72" s="7">
        <v>2.0089999999999999E-5</v>
      </c>
    </row>
    <row r="73" spans="2:6">
      <c r="B73" s="7">
        <v>293</v>
      </c>
      <c r="C73" s="7">
        <v>2.0890000000000002E-5</v>
      </c>
      <c r="D73" s="7">
        <v>1.9150000000000001E-5</v>
      </c>
      <c r="E73" s="7">
        <v>2.0699999999999998E-5</v>
      </c>
      <c r="F73" s="7">
        <v>2.0190000000000002E-5</v>
      </c>
    </row>
    <row r="74" spans="2:6">
      <c r="B74" s="7">
        <v>303</v>
      </c>
      <c r="C74" s="7">
        <v>2.0939999999999999E-5</v>
      </c>
      <c r="D74" s="7">
        <v>1.9199999999999999E-5</v>
      </c>
      <c r="E74" s="7">
        <v>2.0789999999999999E-5</v>
      </c>
      <c r="F74" s="7">
        <v>2.0299999999999999E-5</v>
      </c>
    </row>
    <row r="75" spans="2:6">
      <c r="B75" s="7">
        <v>313</v>
      </c>
      <c r="C75" s="7">
        <v>2.0999999999999999E-5</v>
      </c>
      <c r="D75" s="7">
        <v>1.9300000000000002E-5</v>
      </c>
      <c r="E75" s="7">
        <v>2.0890000000000002E-5</v>
      </c>
      <c r="F75" s="7">
        <v>2.035E-5</v>
      </c>
    </row>
    <row r="76" spans="2:6">
      <c r="B76" s="7">
        <v>323</v>
      </c>
      <c r="C76" s="7">
        <v>2.1100000000000001E-5</v>
      </c>
      <c r="D76" s="7">
        <v>1.9400000000000001E-5</v>
      </c>
      <c r="E76" s="7">
        <v>2.0999999999999999E-5</v>
      </c>
      <c r="F76" s="7">
        <v>2.0400000000000001E-5</v>
      </c>
    </row>
    <row r="81" spans="2:4">
      <c r="B81" s="74" t="s">
        <v>396</v>
      </c>
    </row>
    <row r="82" spans="2:4" ht="38.25">
      <c r="B82" s="7"/>
      <c r="C82" s="158" t="s">
        <v>563</v>
      </c>
      <c r="D82" s="174" t="s">
        <v>513</v>
      </c>
    </row>
    <row r="83" spans="2:4">
      <c r="B83" s="62" t="s">
        <v>339</v>
      </c>
      <c r="C83" s="7">
        <v>-0.6885</v>
      </c>
      <c r="D83" s="7">
        <f>-0.5139</f>
        <v>-0.51390000000000002</v>
      </c>
    </row>
    <row r="84" spans="2:4">
      <c r="B84" s="62" t="s">
        <v>340</v>
      </c>
      <c r="C84" s="9">
        <v>8.0009999999999994E-3</v>
      </c>
      <c r="D84" s="7">
        <f>0.002073</f>
        <v>2.0730000000000002E-3</v>
      </c>
    </row>
    <row r="85" spans="2:4">
      <c r="B85" s="62" t="s">
        <v>349</v>
      </c>
      <c r="C85" s="9">
        <v>8.3550000000000005E-6</v>
      </c>
      <c r="D85" s="9">
        <v>5.0399999999999999E-5</v>
      </c>
    </row>
    <row r="86" spans="2:4">
      <c r="B86" s="62" t="s">
        <v>341</v>
      </c>
      <c r="C86" s="9">
        <v>0</v>
      </c>
      <c r="D86" s="9">
        <v>-1.022E-7</v>
      </c>
    </row>
    <row r="87" spans="2:4">
      <c r="B87" s="62" t="s">
        <v>342</v>
      </c>
      <c r="C87" s="9">
        <v>0</v>
      </c>
      <c r="D87" s="9">
        <v>5.8340000000000002E-11</v>
      </c>
    </row>
    <row r="88" spans="2:4">
      <c r="B88" s="62" t="s">
        <v>347</v>
      </c>
      <c r="C88" s="172">
        <v>89</v>
      </c>
      <c r="D88" s="172">
        <v>5</v>
      </c>
    </row>
    <row r="89" spans="2:4">
      <c r="B89" s="62" t="s">
        <v>348</v>
      </c>
      <c r="C89" s="172">
        <v>400</v>
      </c>
      <c r="D89" s="172">
        <v>900</v>
      </c>
    </row>
    <row r="91" spans="2:4">
      <c r="B91" s="98" t="s">
        <v>280</v>
      </c>
      <c r="C91" s="173">
        <v>293</v>
      </c>
    </row>
    <row r="92" spans="2:4">
      <c r="B92" s="78" t="s">
        <v>54</v>
      </c>
      <c r="C92" s="97">
        <f>IF(AND($C$91&gt;=C$88,$C$91&lt;=C$89),0.000001*(C$83+C$84*$C$91+C$85*$C$91^2+C$86*$C$91^3+C$87*$C$91^4),"Out of Range")</f>
        <v>2.373061395E-6</v>
      </c>
      <c r="D92" s="97">
        <f>IF(AND($C$91&gt;=D$88,$C$91&lt;=D$89),0.000001*(D$83+D$84*$C$91+D$85*$C$91^2+D$86*$C$91^3+D$87*$C$91^4),"Out of Range")</f>
        <v>2.2795333983303396E-6</v>
      </c>
    </row>
    <row r="97" spans="2:11">
      <c r="B97" s="270" t="s">
        <v>473</v>
      </c>
      <c r="C97" s="270"/>
      <c r="D97" s="270"/>
      <c r="E97" s="270"/>
      <c r="F97" s="270"/>
      <c r="G97" s="270"/>
      <c r="H97" s="270"/>
      <c r="I97" s="270"/>
      <c r="J97" s="270"/>
      <c r="K97" s="270"/>
    </row>
    <row r="98" spans="2:11" ht="25.5">
      <c r="B98" s="74" t="s">
        <v>337</v>
      </c>
      <c r="C98" s="123" t="s">
        <v>354</v>
      </c>
    </row>
    <row r="99" spans="2:11">
      <c r="B99" s="130" t="s">
        <v>339</v>
      </c>
      <c r="C99" s="133">
        <v>-60.633899999999997</v>
      </c>
    </row>
    <row r="100" spans="2:11">
      <c r="B100" s="130" t="s">
        <v>340</v>
      </c>
      <c r="C100" s="133">
        <v>276.779</v>
      </c>
    </row>
    <row r="101" spans="2:11">
      <c r="B101" s="130" t="s">
        <v>349</v>
      </c>
      <c r="C101" s="133">
        <v>-546.197</v>
      </c>
    </row>
    <row r="102" spans="2:11">
      <c r="B102" s="130" t="s">
        <v>341</v>
      </c>
      <c r="C102" s="133">
        <v>580.1</v>
      </c>
    </row>
    <row r="103" spans="2:11">
      <c r="B103" s="130" t="s">
        <v>342</v>
      </c>
      <c r="C103" s="133">
        <v>-355.82</v>
      </c>
    </row>
    <row r="104" spans="2:11">
      <c r="B104" s="130" t="s">
        <v>343</v>
      </c>
      <c r="C104" s="133">
        <v>126.77800000000001</v>
      </c>
    </row>
    <row r="105" spans="2:11">
      <c r="B105" s="130" t="s">
        <v>344</v>
      </c>
      <c r="C105" s="133">
        <v>-24.4575</v>
      </c>
    </row>
    <row r="106" spans="2:11">
      <c r="B106" s="130" t="s">
        <v>345</v>
      </c>
      <c r="C106" s="133">
        <v>1.9812399999999999</v>
      </c>
    </row>
    <row r="107" spans="2:11">
      <c r="B107" s="130" t="s">
        <v>346</v>
      </c>
      <c r="C107" s="83">
        <v>0</v>
      </c>
    </row>
    <row r="108" spans="2:11">
      <c r="B108" s="131" t="s">
        <v>347</v>
      </c>
      <c r="C108" s="134">
        <v>4</v>
      </c>
    </row>
    <row r="109" spans="2:11">
      <c r="B109" s="131" t="s">
        <v>348</v>
      </c>
      <c r="C109" s="134">
        <v>300</v>
      </c>
    </row>
    <row r="110" spans="2:11">
      <c r="B110" s="132" t="s">
        <v>357</v>
      </c>
      <c r="C110" s="7"/>
    </row>
    <row r="111" spans="2:11" ht="13.5" thickBot="1"/>
    <row r="112" spans="2:11" ht="32.25" thickBot="1">
      <c r="B112" s="118" t="s">
        <v>466</v>
      </c>
      <c r="C112" s="119">
        <v>294</v>
      </c>
    </row>
    <row r="113" spans="2:9" ht="13.5" thickBot="1">
      <c r="B113" t="s">
        <v>352</v>
      </c>
      <c r="C113">
        <f>LOG10(C112)</f>
        <v>2.4683473304121573</v>
      </c>
    </row>
    <row r="114" spans="2:9" ht="32.25" thickBot="1">
      <c r="B114" s="117" t="s">
        <v>474</v>
      </c>
      <c r="C114" s="129">
        <f>IF(AND($C$112&gt;=C$108,$C$112&lt;=C$109),10^(C$99+$C$113*(C$100+$C$113*(C$101+$C$113*(C$102+$C$113*(C$103+$C$113*(C$104+$C$113*(C$105+$C$113*(C$106+$C$113*C$107))))))))/1000000,"Out of Range")</f>
        <v>1.809967808994513E-5</v>
      </c>
    </row>
    <row r="117" spans="2:9" ht="25.5">
      <c r="B117" s="62" t="s">
        <v>330</v>
      </c>
      <c r="C117" s="91" t="s">
        <v>489</v>
      </c>
      <c r="E117" s="62" t="s">
        <v>330</v>
      </c>
      <c r="F117" s="91" t="s">
        <v>490</v>
      </c>
      <c r="H117" s="62" t="s">
        <v>330</v>
      </c>
      <c r="I117" s="91" t="s">
        <v>491</v>
      </c>
    </row>
    <row r="118" spans="2:9">
      <c r="B118" s="7">
        <v>80</v>
      </c>
      <c r="C118" s="9">
        <v>4.2599999999999998E-7</v>
      </c>
      <c r="E118" s="7">
        <v>90</v>
      </c>
      <c r="F118" s="9">
        <v>-1.4000000000000001E-7</v>
      </c>
      <c r="H118" s="7">
        <v>300</v>
      </c>
      <c r="I118" s="9">
        <v>1.19E-6</v>
      </c>
    </row>
    <row r="119" spans="2:9">
      <c r="B119" s="7">
        <v>100</v>
      </c>
      <c r="C119" s="9">
        <v>6.1699999999999998E-7</v>
      </c>
      <c r="E119" s="7">
        <v>100</v>
      </c>
      <c r="F119" s="9">
        <v>-8.9999999999999995E-9</v>
      </c>
      <c r="H119" s="7">
        <v>350</v>
      </c>
      <c r="I119" s="9">
        <v>1.59E-6</v>
      </c>
    </row>
    <row r="120" spans="2:9">
      <c r="B120" s="7">
        <v>110</v>
      </c>
      <c r="C120" s="9">
        <v>7.2500000000000005E-7</v>
      </c>
      <c r="E120" s="7">
        <v>150</v>
      </c>
      <c r="F120" s="9">
        <v>8.4E-7</v>
      </c>
      <c r="H120" s="7">
        <v>400</v>
      </c>
      <c r="I120" s="9">
        <v>1.9400000000000001E-6</v>
      </c>
    </row>
    <row r="121" spans="2:9">
      <c r="B121" s="7">
        <v>120</v>
      </c>
      <c r="C121" s="9">
        <v>8.4200000000000005E-7</v>
      </c>
      <c r="E121" s="7">
        <v>200</v>
      </c>
      <c r="F121" s="9">
        <v>1.6199999999999999E-6</v>
      </c>
    </row>
    <row r="122" spans="2:9">
      <c r="B122" s="7">
        <v>130</v>
      </c>
      <c r="C122" s="9">
        <v>9.6700000000000002E-7</v>
      </c>
      <c r="E122" s="7">
        <v>250</v>
      </c>
      <c r="F122" s="9">
        <v>2.2400000000000002E-6</v>
      </c>
    </row>
    <row r="123" spans="2:9">
      <c r="B123" s="7">
        <v>140</v>
      </c>
      <c r="C123" s="9">
        <v>1.1000000000000001E-6</v>
      </c>
      <c r="E123" s="7">
        <v>300</v>
      </c>
      <c r="F123" s="9">
        <v>2.7700000000000002E-6</v>
      </c>
    </row>
    <row r="124" spans="2:9">
      <c r="B124" s="7">
        <v>150</v>
      </c>
      <c r="C124" s="9">
        <v>1.24E-6</v>
      </c>
      <c r="E124" s="7">
        <v>350</v>
      </c>
      <c r="F124" s="9">
        <v>3.2499999999999998E-6</v>
      </c>
    </row>
    <row r="125" spans="2:9">
      <c r="B125" s="7">
        <v>200</v>
      </c>
      <c r="C125" s="9">
        <v>2.08E-6</v>
      </c>
      <c r="E125" s="7">
        <v>400</v>
      </c>
      <c r="F125" s="9">
        <v>3.6799999999999999E-6</v>
      </c>
    </row>
    <row r="126" spans="2:9">
      <c r="B126" s="7">
        <v>250</v>
      </c>
      <c r="C126" s="9">
        <v>3.1300000000000001E-6</v>
      </c>
    </row>
    <row r="127" spans="2:9">
      <c r="B127" s="7">
        <v>300</v>
      </c>
      <c r="C127" s="9">
        <v>3.8199999999999998E-6</v>
      </c>
    </row>
    <row r="128" spans="2:9">
      <c r="B128" s="7">
        <v>350</v>
      </c>
      <c r="C128" s="9">
        <v>4.3000000000000003E-6</v>
      </c>
    </row>
    <row r="129" spans="2:9">
      <c r="B129" s="7">
        <v>400</v>
      </c>
      <c r="C129" s="9">
        <v>4.6999999999999999E-6</v>
      </c>
    </row>
    <row r="130" spans="2:9">
      <c r="B130" s="35"/>
      <c r="C130" s="150"/>
    </row>
    <row r="131" spans="2:9">
      <c r="C131" s="269" t="s">
        <v>498</v>
      </c>
      <c r="D131" s="269"/>
      <c r="E131" s="269"/>
      <c r="H131" s="270" t="s">
        <v>578</v>
      </c>
      <c r="I131" s="270"/>
    </row>
    <row r="132" spans="2:9">
      <c r="B132" s="62" t="s">
        <v>330</v>
      </c>
      <c r="C132" s="93" t="s">
        <v>499</v>
      </c>
      <c r="D132" s="93" t="s">
        <v>500</v>
      </c>
      <c r="E132" s="93" t="s">
        <v>501</v>
      </c>
      <c r="H132" s="62" t="s">
        <v>330</v>
      </c>
      <c r="I132" s="62" t="s">
        <v>557</v>
      </c>
    </row>
    <row r="133" spans="2:9">
      <c r="B133" s="7">
        <v>10</v>
      </c>
      <c r="C133" s="7"/>
      <c r="D133" s="7"/>
      <c r="E133" s="7" t="s">
        <v>497</v>
      </c>
      <c r="H133" s="75">
        <v>60.067567567567558</v>
      </c>
      <c r="I133" s="7">
        <v>5.3164556962025358E-7</v>
      </c>
    </row>
    <row r="134" spans="2:9">
      <c r="B134" s="7">
        <v>20</v>
      </c>
      <c r="C134" s="7"/>
      <c r="D134" s="7"/>
      <c r="E134" s="9">
        <v>-9.9999999999999995E-8</v>
      </c>
      <c r="H134" s="75">
        <v>119.66216216216216</v>
      </c>
      <c r="I134" s="7">
        <v>5.4683544303797495E-7</v>
      </c>
    </row>
    <row r="135" spans="2:9">
      <c r="B135" s="7">
        <v>30</v>
      </c>
      <c r="C135" s="7"/>
      <c r="D135" s="7"/>
      <c r="E135" s="9">
        <v>-1.72E-6</v>
      </c>
      <c r="H135" s="75">
        <v>140</v>
      </c>
      <c r="I135" s="7">
        <v>5.924050632911395E-7</v>
      </c>
    </row>
    <row r="136" spans="2:9">
      <c r="B136" s="7">
        <v>40</v>
      </c>
      <c r="C136" s="9">
        <v>-4.9999999999999998E-8</v>
      </c>
      <c r="D136" s="9">
        <v>7.0000000000000005E-8</v>
      </c>
      <c r="E136" s="9">
        <v>-8.1999999999999998E-7</v>
      </c>
      <c r="H136" s="75">
        <v>160.33783783783784</v>
      </c>
      <c r="I136" s="7">
        <v>6.6835443037974721E-7</v>
      </c>
    </row>
    <row r="137" spans="2:9">
      <c r="B137" s="7">
        <v>50</v>
      </c>
      <c r="C137" s="9">
        <v>-1.9999999999999999E-7</v>
      </c>
      <c r="D137" s="9">
        <v>200000</v>
      </c>
      <c r="E137" s="9">
        <v>-3.3000000000000002E-7</v>
      </c>
      <c r="H137" s="75">
        <v>179.72972972972974</v>
      </c>
      <c r="I137" s="7">
        <v>8.430379746835447E-7</v>
      </c>
    </row>
    <row r="138" spans="2:9">
      <c r="B138" s="7">
        <v>60</v>
      </c>
      <c r="C138" s="9">
        <v>-4.0999999999999999E-7</v>
      </c>
      <c r="D138" s="9">
        <v>3.9000000000000002E-7</v>
      </c>
      <c r="E138" s="9">
        <v>2.8000000000000002E-7</v>
      </c>
      <c r="H138" s="75">
        <v>200.06756756756758</v>
      </c>
      <c r="I138" s="7">
        <v>1.0632911392405067E-6</v>
      </c>
    </row>
    <row r="139" spans="2:9">
      <c r="B139" s="7">
        <v>70</v>
      </c>
      <c r="C139" s="9">
        <v>-5.8999999999999996E-7</v>
      </c>
      <c r="D139" s="9">
        <v>6.7000000000000004E-7</v>
      </c>
      <c r="E139" s="9">
        <v>8.8999999999999995E-7</v>
      </c>
      <c r="H139" s="75">
        <v>219.93243243243242</v>
      </c>
      <c r="I139" s="7">
        <v>1.3139240506329115E-6</v>
      </c>
    </row>
    <row r="140" spans="2:9">
      <c r="B140" s="7">
        <v>80</v>
      </c>
      <c r="C140" s="9">
        <v>-7.7000000000000004E-7</v>
      </c>
      <c r="D140" s="9">
        <v>1.0499999999999999E-6</v>
      </c>
      <c r="E140" s="9">
        <v>1.5E-6</v>
      </c>
      <c r="H140" s="75">
        <v>240.27027027027029</v>
      </c>
      <c r="I140" s="7">
        <v>1.5721518987341774E-6</v>
      </c>
    </row>
    <row r="141" spans="2:9">
      <c r="B141" s="7">
        <v>90</v>
      </c>
      <c r="C141" s="9">
        <v>-5.0999999999999999E-7</v>
      </c>
      <c r="D141" s="9">
        <v>1.5400000000000001E-6</v>
      </c>
      <c r="E141" s="9">
        <v>2.1799999999999999E-6</v>
      </c>
      <c r="H141" s="75">
        <v>259.66216216216213</v>
      </c>
      <c r="I141" s="7">
        <v>1.7316455696202535E-6</v>
      </c>
    </row>
    <row r="142" spans="2:9">
      <c r="B142" s="7">
        <v>100</v>
      </c>
      <c r="C142" s="9">
        <v>-3.1E-7</v>
      </c>
      <c r="D142" s="9">
        <v>2.2000000000000001E-6</v>
      </c>
      <c r="E142" s="9">
        <v>2.7599999999999998E-6</v>
      </c>
      <c r="H142" s="75">
        <v>270.06756756756755</v>
      </c>
      <c r="I142" s="7">
        <v>1.906329113924051E-6</v>
      </c>
    </row>
    <row r="143" spans="2:9">
      <c r="B143" s="7">
        <v>110</v>
      </c>
      <c r="C143" s="9">
        <v>-1.4999999999999999E-7</v>
      </c>
      <c r="D143" s="9">
        <v>2.79E-6</v>
      </c>
      <c r="E143" s="9">
        <v>2.2199999999999999E-6</v>
      </c>
      <c r="H143" s="75">
        <v>280</v>
      </c>
      <c r="I143" s="7">
        <v>1.9443037974683549E-6</v>
      </c>
    </row>
    <row r="144" spans="2:9">
      <c r="B144" s="7">
        <v>120</v>
      </c>
      <c r="C144" s="9">
        <v>1E-8</v>
      </c>
      <c r="D144" s="9">
        <v>3.2499999999999998E-6</v>
      </c>
      <c r="E144" s="9">
        <v>2.48E-6</v>
      </c>
      <c r="H144" s="75">
        <v>288.51351351351349</v>
      </c>
      <c r="I144" s="7">
        <v>2.0126582278481015E-6</v>
      </c>
    </row>
    <row r="145" spans="2:9">
      <c r="B145" s="7">
        <v>130</v>
      </c>
      <c r="C145" s="9">
        <v>1.6E-7</v>
      </c>
      <c r="D145" s="9">
        <v>3.6200000000000001E-6</v>
      </c>
      <c r="E145" s="9">
        <v>3.67E-6</v>
      </c>
      <c r="H145" s="75">
        <v>294.66216216216213</v>
      </c>
      <c r="I145" s="7">
        <v>2.1797468354430383E-6</v>
      </c>
    </row>
    <row r="146" spans="2:9">
      <c r="B146" s="7">
        <v>140</v>
      </c>
      <c r="C146" s="9">
        <v>3.1E-7</v>
      </c>
      <c r="D146" s="9">
        <v>3.9099999999999998E-6</v>
      </c>
      <c r="E146" s="9">
        <v>3.8299999999999998E-6</v>
      </c>
      <c r="H146" s="75">
        <v>312.16216216216213</v>
      </c>
      <c r="I146" s="7">
        <v>2.4151898734177221E-6</v>
      </c>
    </row>
    <row r="147" spans="2:9">
      <c r="B147" s="7">
        <v>150</v>
      </c>
      <c r="C147" s="9">
        <v>4.7E-7</v>
      </c>
      <c r="D147" s="9">
        <v>4.1200000000000004E-6</v>
      </c>
      <c r="E147" s="9">
        <v>3.9600000000000002E-6</v>
      </c>
      <c r="H147" s="75">
        <v>332.5</v>
      </c>
      <c r="I147" s="7">
        <v>2.6126582278481017E-6</v>
      </c>
    </row>
    <row r="148" spans="2:9">
      <c r="B148" s="7">
        <v>160</v>
      </c>
      <c r="C148" s="9">
        <v>6.5000000000000002E-7</v>
      </c>
      <c r="D148" s="9">
        <v>4.2899999999999996E-6</v>
      </c>
      <c r="E148" s="9">
        <v>4.0799999999999999E-6</v>
      </c>
    </row>
    <row r="149" spans="2:9">
      <c r="B149" s="7">
        <v>170</v>
      </c>
      <c r="C149" s="9">
        <v>8.4E-7</v>
      </c>
      <c r="D149" s="9">
        <v>4.4499999999999997E-6</v>
      </c>
      <c r="E149" s="9">
        <v>4.1699999999999999E-6</v>
      </c>
    </row>
    <row r="150" spans="2:9">
      <c r="B150" s="7">
        <v>180</v>
      </c>
      <c r="C150" s="9">
        <v>1.0499999999999999E-6</v>
      </c>
      <c r="D150" s="9">
        <v>4.5800000000000002E-6</v>
      </c>
      <c r="E150" s="9">
        <v>4.2699999999999998E-6</v>
      </c>
    </row>
    <row r="151" spans="2:9">
      <c r="B151" s="7">
        <v>190</v>
      </c>
      <c r="C151" s="9">
        <v>1.28E-6</v>
      </c>
      <c r="D151" s="9">
        <v>4.6999999999999999E-6</v>
      </c>
      <c r="E151" s="9">
        <v>4.3499999999999999E-6</v>
      </c>
    </row>
    <row r="152" spans="2:9">
      <c r="B152" s="7">
        <v>200</v>
      </c>
      <c r="C152" s="9">
        <v>1.4899999999999999E-6</v>
      </c>
      <c r="D152" s="9">
        <v>4.8199999999999996E-6</v>
      </c>
      <c r="E152" s="9">
        <v>4.4299999999999999E-6</v>
      </c>
    </row>
    <row r="153" spans="2:9">
      <c r="B153" s="7">
        <v>210</v>
      </c>
      <c r="C153" s="9">
        <v>1.6700000000000001E-6</v>
      </c>
      <c r="D153" s="9">
        <v>4.9300000000000002E-6</v>
      </c>
      <c r="E153" s="9">
        <v>4.51E-6</v>
      </c>
    </row>
    <row r="154" spans="2:9">
      <c r="B154" s="7">
        <v>220</v>
      </c>
      <c r="C154" s="9">
        <v>1.8300000000000001E-6</v>
      </c>
      <c r="D154" s="9">
        <v>5.0300000000000001E-6</v>
      </c>
      <c r="E154" s="9">
        <v>4.5800000000000002E-6</v>
      </c>
    </row>
    <row r="155" spans="2:9">
      <c r="B155" s="7">
        <v>230</v>
      </c>
      <c r="C155" s="9">
        <v>1.9700000000000002E-6</v>
      </c>
      <c r="D155" s="9">
        <v>5.13E-6</v>
      </c>
      <c r="E155" s="9">
        <v>4.6399999999999996E-6</v>
      </c>
    </row>
    <row r="156" spans="2:9">
      <c r="B156" s="7">
        <v>240</v>
      </c>
      <c r="C156" s="9">
        <v>2.0700000000000001E-6</v>
      </c>
      <c r="D156" s="9">
        <v>5.2299999999999999E-6</v>
      </c>
      <c r="E156" s="9">
        <v>4.7099999999999998E-6</v>
      </c>
    </row>
    <row r="157" spans="2:9">
      <c r="B157" s="7">
        <v>250</v>
      </c>
      <c r="C157" s="9">
        <v>2.1600000000000001E-6</v>
      </c>
      <c r="D157" s="9">
        <v>5.3199999999999999E-6</v>
      </c>
      <c r="E157" s="9">
        <v>4.78E-6</v>
      </c>
    </row>
    <row r="158" spans="2:9">
      <c r="B158" s="7">
        <v>260</v>
      </c>
      <c r="C158" s="9">
        <v>2.2199999999999999E-6</v>
      </c>
      <c r="D158" s="9">
        <v>5.4199999999999998E-6</v>
      </c>
      <c r="E158" s="9">
        <v>4.8300000000000003E-6</v>
      </c>
    </row>
    <row r="159" spans="2:9">
      <c r="B159" s="7">
        <v>270</v>
      </c>
      <c r="C159" s="9">
        <v>2.2699999999999999E-6</v>
      </c>
      <c r="D159" s="9">
        <v>5.4999999999999999E-6</v>
      </c>
      <c r="E159" s="9">
        <v>4.8899999999999998E-6</v>
      </c>
    </row>
    <row r="160" spans="2:9">
      <c r="B160" s="7">
        <v>280</v>
      </c>
      <c r="C160" s="9">
        <v>2.3E-6</v>
      </c>
      <c r="D160" s="9">
        <v>5.5899999999999998E-6</v>
      </c>
      <c r="E160" s="9">
        <v>4.95E-6</v>
      </c>
    </row>
    <row r="161" spans="2:7">
      <c r="B161" s="7">
        <v>290</v>
      </c>
      <c r="C161" s="9">
        <v>2.3099999999999999E-6</v>
      </c>
      <c r="D161" s="9">
        <v>5.6699999999999999E-6</v>
      </c>
      <c r="E161" s="9">
        <v>5.0000000000000004E-6</v>
      </c>
    </row>
    <row r="162" spans="2:7">
      <c r="B162" s="7">
        <v>300</v>
      </c>
      <c r="C162" s="9">
        <v>2.3300000000000001E-6</v>
      </c>
      <c r="D162" s="9">
        <v>5.75E-6</v>
      </c>
      <c r="E162" s="9">
        <v>5.04E-6</v>
      </c>
    </row>
    <row r="165" spans="2:7">
      <c r="B165" s="281" t="s">
        <v>524</v>
      </c>
      <c r="C165" s="281"/>
      <c r="D165" s="281"/>
    </row>
    <row r="166" spans="2:7">
      <c r="B166" s="50" t="s">
        <v>523</v>
      </c>
      <c r="C166" s="76" t="s">
        <v>518</v>
      </c>
      <c r="F166" s="270" t="s">
        <v>532</v>
      </c>
      <c r="G166" s="270"/>
    </row>
    <row r="167" spans="2:7">
      <c r="B167" s="7" t="s">
        <v>339</v>
      </c>
      <c r="C167" s="7">
        <v>3.5787466191999998E-4</v>
      </c>
      <c r="F167" s="62" t="s">
        <v>280</v>
      </c>
      <c r="G167" s="62" t="s">
        <v>528</v>
      </c>
    </row>
    <row r="168" spans="2:7">
      <c r="B168" s="7" t="s">
        <v>340</v>
      </c>
      <c r="C168" s="7">
        <v>-5.7595807399999999E-6</v>
      </c>
      <c r="F168" s="7" t="s">
        <v>530</v>
      </c>
      <c r="G168" s="9">
        <v>2.5700000000000001E-5</v>
      </c>
    </row>
    <row r="169" spans="2:7">
      <c r="B169" s="7" t="s">
        <v>349</v>
      </c>
      <c r="C169" s="7">
        <v>3.2744580000000005E-8</v>
      </c>
      <c r="F169" s="7" t="s">
        <v>531</v>
      </c>
      <c r="G169" s="9">
        <v>4.4499999999999997E-5</v>
      </c>
    </row>
    <row r="170" spans="2:7">
      <c r="B170" s="7" t="s">
        <v>341</v>
      </c>
      <c r="C170" s="7">
        <v>-5.5879999999999999E-11</v>
      </c>
      <c r="F170" s="7" t="s">
        <v>529</v>
      </c>
      <c r="G170" s="9">
        <v>5.6499999999999998E-5</v>
      </c>
    </row>
    <row r="171" spans="2:7">
      <c r="B171" s="7" t="s">
        <v>347</v>
      </c>
      <c r="C171" s="7">
        <v>80</v>
      </c>
    </row>
    <row r="172" spans="2:7">
      <c r="B172" s="7" t="s">
        <v>348</v>
      </c>
      <c r="C172" s="7">
        <v>300</v>
      </c>
    </row>
    <row r="173" spans="2:7" ht="13.5" thickBot="1"/>
    <row r="174" spans="2:7" ht="32.25" thickBot="1">
      <c r="B174" s="118" t="s">
        <v>466</v>
      </c>
      <c r="C174" s="119">
        <v>80</v>
      </c>
    </row>
    <row r="175" spans="2:7" ht="16.5" thickBot="1">
      <c r="B175" s="176"/>
      <c r="C175" s="175"/>
    </row>
    <row r="176" spans="2:7" ht="32.25" thickBot="1">
      <c r="B176" s="118" t="s">
        <v>525</v>
      </c>
      <c r="C176" s="180">
        <f>IF(AND($C$174&gt;=C$171,$C$174&lt;=C$172),C$167+C$168*$C$174+C$169*$C$174^2+C$170*$C$174^3,"Out of Range")</f>
        <v>7.8062954720000023E-5</v>
      </c>
    </row>
    <row r="178" spans="2:5">
      <c r="B178" s="281" t="s">
        <v>539</v>
      </c>
      <c r="C178" s="281"/>
      <c r="D178" s="281"/>
      <c r="E178" s="281"/>
    </row>
    <row r="179" spans="2:5">
      <c r="B179" s="189" t="s">
        <v>523</v>
      </c>
      <c r="C179" s="76" t="s">
        <v>4</v>
      </c>
    </row>
    <row r="180" spans="2:5">
      <c r="B180" s="7" t="s">
        <v>339</v>
      </c>
      <c r="C180" s="7">
        <v>8.2838692056366016E-6</v>
      </c>
    </row>
    <row r="181" spans="2:5">
      <c r="B181" s="7" t="s">
        <v>340</v>
      </c>
      <c r="C181" s="7">
        <v>-2.0214459500220004E-7</v>
      </c>
    </row>
    <row r="182" spans="2:5">
      <c r="B182" s="7" t="s">
        <v>349</v>
      </c>
      <c r="C182" s="7">
        <v>1.7212146662000001E-9</v>
      </c>
    </row>
    <row r="183" spans="2:5">
      <c r="B183" s="7" t="s">
        <v>341</v>
      </c>
      <c r="C183" s="7">
        <v>-4.6127188000000007E-12</v>
      </c>
    </row>
    <row r="184" spans="2:5">
      <c r="B184" s="7" t="s">
        <v>342</v>
      </c>
      <c r="C184" s="7">
        <v>4.1495000000000001E-15</v>
      </c>
    </row>
    <row r="185" spans="2:5">
      <c r="B185" s="7" t="s">
        <v>347</v>
      </c>
      <c r="C185" s="7">
        <v>89</v>
      </c>
    </row>
    <row r="186" spans="2:5">
      <c r="B186" s="7" t="s">
        <v>348</v>
      </c>
      <c r="C186" s="7">
        <v>430</v>
      </c>
    </row>
    <row r="187" spans="2:5" ht="13.5" thickBot="1"/>
    <row r="188" spans="2:5" ht="32.25" thickBot="1">
      <c r="B188" s="118" t="s">
        <v>466</v>
      </c>
      <c r="C188" s="119">
        <v>100</v>
      </c>
    </row>
    <row r="189" spans="2:5" ht="13.5" thickBot="1"/>
    <row r="190" spans="2:5" ht="32.25" thickBot="1">
      <c r="B190" s="118" t="s">
        <v>525</v>
      </c>
      <c r="C190" s="180">
        <f>IF(AND($C$188&gt;=C$185,$C$188&lt;=C$186),C$180+C$181*$C$188+C$182*$C$188^2+C$183*$C$188^3+C184*C188^4,"Out of Range")</f>
        <v>1.0837875674165986E-6</v>
      </c>
    </row>
    <row r="192" spans="2:5">
      <c r="B192" s="281" t="s">
        <v>562</v>
      </c>
      <c r="C192" s="281"/>
      <c r="D192" s="281"/>
      <c r="E192" s="281"/>
    </row>
    <row r="193" spans="2:19">
      <c r="B193" s="93" t="s">
        <v>523</v>
      </c>
      <c r="C193" s="93" t="s">
        <v>559</v>
      </c>
    </row>
    <row r="194" spans="2:19">
      <c r="B194" s="7" t="s">
        <v>339</v>
      </c>
      <c r="C194" s="9">
        <v>7.4379999999999998E-7</v>
      </c>
    </row>
    <row r="195" spans="2:19">
      <c r="B195" s="7" t="s">
        <v>340</v>
      </c>
      <c r="C195" s="9">
        <v>-2.2889999999999999E-8</v>
      </c>
    </row>
    <row r="196" spans="2:19">
      <c r="B196" s="7" t="s">
        <v>349</v>
      </c>
      <c r="C196" s="9">
        <v>1.9191000000000001E-10</v>
      </c>
    </row>
    <row r="197" spans="2:19">
      <c r="B197" s="7" t="s">
        <v>341</v>
      </c>
      <c r="C197" s="9">
        <v>-3.2497999999999999E-13</v>
      </c>
    </row>
    <row r="198" spans="2:19">
      <c r="B198" s="7" t="s">
        <v>347</v>
      </c>
      <c r="C198" s="7">
        <v>12</v>
      </c>
    </row>
    <row r="199" spans="2:19">
      <c r="B199" s="7" t="s">
        <v>348</v>
      </c>
      <c r="C199" s="7">
        <v>300</v>
      </c>
    </row>
    <row r="200" spans="2:19" ht="13.5" thickBot="1"/>
    <row r="201" spans="2:19" ht="32.25" thickBot="1">
      <c r="B201" s="118" t="s">
        <v>466</v>
      </c>
      <c r="C201" s="119">
        <v>12</v>
      </c>
    </row>
    <row r="202" spans="2:19" ht="13.5" thickBot="1"/>
    <row r="203" spans="2:19" ht="32.25" thickBot="1">
      <c r="B203" s="118" t="s">
        <v>525</v>
      </c>
      <c r="C203" s="180">
        <f>IF(AND($C$201&gt;=$C$198,$C$201&lt;=$C$199),$C$194+$C$195*$C$201+$C$196*$C$201^2+$C$197*$C$201^3,"Out of Range")</f>
        <v>4.9619347456E-7</v>
      </c>
    </row>
    <row r="206" spans="2:19">
      <c r="B206" s="269" t="s">
        <v>594</v>
      </c>
      <c r="C206" s="269"/>
      <c r="D206" s="269"/>
      <c r="E206" s="269"/>
      <c r="F206" s="269"/>
    </row>
    <row r="207" spans="2:19">
      <c r="B207" s="7"/>
      <c r="C207" s="269" t="s">
        <v>584</v>
      </c>
      <c r="D207" s="269"/>
      <c r="E207" s="269"/>
      <c r="F207" s="269"/>
      <c r="H207" s="270" t="s">
        <v>623</v>
      </c>
      <c r="I207" s="270"/>
      <c r="K207" s="270" t="s">
        <v>628</v>
      </c>
      <c r="L207" s="270"/>
      <c r="M207" s="270"/>
      <c r="O207" s="270" t="s">
        <v>631</v>
      </c>
      <c r="P207" s="270"/>
      <c r="R207" s="270" t="s">
        <v>655</v>
      </c>
      <c r="S207" s="270"/>
    </row>
    <row r="208" spans="2:19">
      <c r="B208" s="62" t="s">
        <v>281</v>
      </c>
      <c r="C208" s="193" t="s">
        <v>585</v>
      </c>
      <c r="D208" s="193" t="s">
        <v>586</v>
      </c>
      <c r="E208" s="193" t="s">
        <v>587</v>
      </c>
      <c r="F208" s="193" t="s">
        <v>588</v>
      </c>
      <c r="H208" s="62" t="s">
        <v>281</v>
      </c>
      <c r="I208" s="62" t="s">
        <v>54</v>
      </c>
      <c r="K208" s="62" t="s">
        <v>281</v>
      </c>
      <c r="L208" s="62" t="s">
        <v>626</v>
      </c>
      <c r="M208" s="62" t="s">
        <v>627</v>
      </c>
      <c r="O208" s="62" t="s">
        <v>281</v>
      </c>
      <c r="P208" s="62" t="s">
        <v>54</v>
      </c>
      <c r="R208" s="62" t="s">
        <v>281</v>
      </c>
      <c r="S208" s="62" t="s">
        <v>54</v>
      </c>
    </row>
    <row r="209" spans="2:19">
      <c r="B209" s="7">
        <v>5</v>
      </c>
      <c r="C209" s="7">
        <v>-1.3991872076103888E-6</v>
      </c>
      <c r="D209" s="7">
        <v>-2.9986588538880432E-7</v>
      </c>
      <c r="E209" s="7">
        <v>-2.3422484076700532E-8</v>
      </c>
      <c r="F209" s="7">
        <v>-6.0857343741651509E-7</v>
      </c>
      <c r="H209" s="172">
        <v>75</v>
      </c>
      <c r="I209" s="9">
        <v>4.9999999999999998E-7</v>
      </c>
      <c r="K209" s="172">
        <v>75</v>
      </c>
      <c r="L209" s="9">
        <v>2.9999999999999999E-7</v>
      </c>
      <c r="M209" s="9">
        <v>-2.4999999999999999E-8</v>
      </c>
      <c r="O209" s="172">
        <v>5</v>
      </c>
      <c r="P209" s="9">
        <v>5.9999999999999989E-10</v>
      </c>
      <c r="R209" s="172">
        <v>25</v>
      </c>
      <c r="S209" s="9">
        <v>-9.9999999999999995E-8</v>
      </c>
    </row>
    <row r="210" spans="2:19">
      <c r="B210" s="7">
        <v>10</v>
      </c>
      <c r="C210" s="7">
        <v>-2.752286803820168E-6</v>
      </c>
      <c r="D210" s="7">
        <v>-1.9448579584021509E-6</v>
      </c>
      <c r="E210" s="7">
        <v>-1.0635537592598946E-6</v>
      </c>
      <c r="F210" s="7">
        <v>-1.3017890082668238E-6</v>
      </c>
      <c r="H210" s="172">
        <v>100</v>
      </c>
      <c r="I210" s="9">
        <v>1.3E-6</v>
      </c>
      <c r="K210" s="172">
        <v>100</v>
      </c>
      <c r="L210" s="9">
        <v>4.9999999999999998E-7</v>
      </c>
      <c r="M210" s="9">
        <v>-2.4999999999999999E-8</v>
      </c>
      <c r="O210" s="172">
        <v>25</v>
      </c>
      <c r="P210" s="9">
        <v>2.0999999999999997E-7</v>
      </c>
      <c r="R210" s="172">
        <v>50</v>
      </c>
      <c r="S210" s="9">
        <v>-5.9999999999999995E-8</v>
      </c>
    </row>
    <row r="211" spans="2:19">
      <c r="B211" s="7">
        <v>15</v>
      </c>
      <c r="C211" s="7">
        <v>-3.4113319903670347E-6</v>
      </c>
      <c r="D211" s="7">
        <v>-3.1133922665347719E-6</v>
      </c>
      <c r="E211" s="7">
        <v>-2.0672131595667585E-6</v>
      </c>
      <c r="F211" s="7">
        <v>-2.096600367821537E-6</v>
      </c>
      <c r="H211" s="172">
        <v>200</v>
      </c>
      <c r="I211" s="9">
        <v>7.0999999999999989E-6</v>
      </c>
      <c r="K211" s="172">
        <v>150</v>
      </c>
      <c r="L211" s="9">
        <v>8.9999999999999996E-7</v>
      </c>
      <c r="M211" s="9">
        <v>-2.1999999999999998E-8</v>
      </c>
      <c r="O211" s="172">
        <v>50</v>
      </c>
      <c r="P211" s="9">
        <v>8.7999999999999994E-7</v>
      </c>
      <c r="R211" s="172">
        <v>100</v>
      </c>
      <c r="S211" s="9">
        <v>4.9999999999999998E-8</v>
      </c>
    </row>
    <row r="212" spans="2:19">
      <c r="B212" s="7">
        <v>20</v>
      </c>
      <c r="C212" s="7">
        <v>-3.6619977308046803E-6</v>
      </c>
      <c r="D212" s="7">
        <v>-3.8050570235981423E-6</v>
      </c>
      <c r="E212" s="7">
        <v>-2.9328498156482975E-6</v>
      </c>
      <c r="F212" s="7">
        <v>-2.770088735185412E-6</v>
      </c>
      <c r="H212" s="172">
        <v>293</v>
      </c>
      <c r="I212" s="9">
        <v>1.13E-5</v>
      </c>
      <c r="K212" s="172">
        <v>200</v>
      </c>
      <c r="L212" s="9">
        <v>1.8999999999999998E-6</v>
      </c>
      <c r="M212" s="9">
        <v>-1.7E-8</v>
      </c>
      <c r="O212" s="172">
        <v>100</v>
      </c>
      <c r="P212" s="9">
        <v>2.6000000000000001E-6</v>
      </c>
      <c r="R212" s="172">
        <v>150</v>
      </c>
      <c r="S212" s="9">
        <v>1.9999999999999999E-7</v>
      </c>
    </row>
    <row r="213" spans="2:19">
      <c r="B213" s="7">
        <v>25</v>
      </c>
      <c r="C213" s="7">
        <v>-3.6804983592370018E-6</v>
      </c>
      <c r="D213" s="7">
        <v>-3.870705921081957E-6</v>
      </c>
      <c r="E213" s="7">
        <v>-3.1634203263119859E-6</v>
      </c>
      <c r="F213" s="7">
        <v>-3.0043455618794796E-6</v>
      </c>
      <c r="H213" s="172">
        <v>400</v>
      </c>
      <c r="I213" s="9">
        <v>1.3599999999999999E-5</v>
      </c>
      <c r="K213" s="172">
        <v>250</v>
      </c>
      <c r="L213" s="9">
        <v>1.9999999999999999E-6</v>
      </c>
      <c r="M213" s="9">
        <v>-8.9999999999999995E-9</v>
      </c>
      <c r="O213" s="172">
        <v>200</v>
      </c>
      <c r="P213" s="9">
        <v>4.0999999999999997E-6</v>
      </c>
      <c r="R213" s="172">
        <v>200</v>
      </c>
      <c r="S213" s="9">
        <v>3.9999999999999998E-7</v>
      </c>
    </row>
    <row r="214" spans="2:19">
      <c r="B214" s="7">
        <v>30</v>
      </c>
      <c r="C214" s="7">
        <v>-3.5316140768987151E-6</v>
      </c>
      <c r="D214" s="7">
        <v>-3.5823607385370162E-6</v>
      </c>
      <c r="E214" s="7">
        <v>-3.0101558569660182E-6</v>
      </c>
      <c r="F214" s="7">
        <v>-3.0460060107846076E-6</v>
      </c>
      <c r="H214" s="172">
        <v>500</v>
      </c>
      <c r="I214" s="9">
        <v>1.5099999999999999E-5</v>
      </c>
      <c r="K214" s="172">
        <v>293</v>
      </c>
      <c r="L214" s="9">
        <v>2.4999999999999998E-6</v>
      </c>
      <c r="M214" s="9">
        <v>0</v>
      </c>
      <c r="O214" s="172">
        <v>293</v>
      </c>
      <c r="P214" s="9">
        <v>4.5000000000000001E-6</v>
      </c>
      <c r="R214" s="172">
        <v>250</v>
      </c>
      <c r="S214" s="9">
        <v>6.9999999999999997E-7</v>
      </c>
    </row>
    <row r="215" spans="2:19">
      <c r="B215" s="7">
        <v>35</v>
      </c>
      <c r="C215" s="7">
        <v>-3.0713214202218217E-6</v>
      </c>
      <c r="D215" s="7">
        <v>-3.0834086234187879E-6</v>
      </c>
      <c r="E215" s="7">
        <v>-2.5614419833150565E-6</v>
      </c>
      <c r="F215" s="7">
        <v>-2.9017430211846297E-6</v>
      </c>
      <c r="H215" s="172">
        <v>600</v>
      </c>
      <c r="I215" s="9">
        <v>1.66E-5</v>
      </c>
      <c r="K215" s="172">
        <v>300</v>
      </c>
      <c r="L215" s="9">
        <v>2.6000000000000001E-6</v>
      </c>
      <c r="M215" s="9">
        <v>1.0000000000000001E-9</v>
      </c>
      <c r="O215" s="172">
        <v>400</v>
      </c>
      <c r="P215" s="9">
        <v>4.5000000000000001E-6</v>
      </c>
      <c r="R215" s="172">
        <v>293</v>
      </c>
      <c r="S215" s="9">
        <v>9.9999999999999995E-7</v>
      </c>
    </row>
    <row r="216" spans="2:19">
      <c r="B216" s="7">
        <v>40</v>
      </c>
      <c r="C216" s="7">
        <v>-2.4588526359318011E-6</v>
      </c>
      <c r="D216" s="7">
        <v>-2.4676467179167881E-6</v>
      </c>
      <c r="E216" s="7">
        <v>-2.1020233452191573E-6</v>
      </c>
      <c r="F216" s="7">
        <v>-2.6056998681657328E-6</v>
      </c>
      <c r="H216" s="172">
        <v>700</v>
      </c>
      <c r="I216" s="9">
        <v>1.7799999999999999E-5</v>
      </c>
      <c r="K216" s="172">
        <v>400</v>
      </c>
      <c r="L216" s="9">
        <v>3.7999999999999996E-6</v>
      </c>
      <c r="M216" s="9">
        <v>3.2999999999999998E-8</v>
      </c>
      <c r="O216" s="172">
        <v>500</v>
      </c>
      <c r="P216" s="9">
        <v>4.5999999999999992E-6</v>
      </c>
      <c r="R216" s="172">
        <v>350</v>
      </c>
      <c r="S216" s="9">
        <v>1.5E-6</v>
      </c>
    </row>
    <row r="217" spans="2:19">
      <c r="B217" s="7">
        <v>50</v>
      </c>
      <c r="C217" s="7">
        <v>-9.4239425542194881E-7</v>
      </c>
      <c r="D217" s="7">
        <v>-1.2734303655680159E-6</v>
      </c>
      <c r="E217" s="7">
        <v>-1.1273706782728593E-6</v>
      </c>
      <c r="F217" s="7">
        <v>-1.4837442733265474E-6</v>
      </c>
      <c r="H217" s="172">
        <v>800</v>
      </c>
      <c r="I217" s="9">
        <v>1.91E-5</v>
      </c>
      <c r="K217" s="172">
        <v>500</v>
      </c>
      <c r="L217" s="9">
        <v>4.4000000000000002E-6</v>
      </c>
      <c r="M217" s="9">
        <v>7.0000000000000005E-8</v>
      </c>
      <c r="O217" s="172">
        <v>600</v>
      </c>
      <c r="P217" s="9">
        <v>4.6999999999999999E-6</v>
      </c>
      <c r="R217" s="172">
        <v>400</v>
      </c>
      <c r="S217" s="9">
        <v>1.7999999999999999E-6</v>
      </c>
    </row>
    <row r="218" spans="2:19">
      <c r="B218" s="7">
        <v>60</v>
      </c>
      <c r="C218" s="7">
        <v>4.9874229722482615E-7</v>
      </c>
      <c r="D218" s="7">
        <v>-2.4002588623216751E-7</v>
      </c>
      <c r="E218" s="7">
        <v>-2.0947656520827749E-7</v>
      </c>
      <c r="F218" s="7">
        <v>-4.7771382519687487E-7</v>
      </c>
      <c r="H218" s="172">
        <v>900</v>
      </c>
      <c r="I218" s="9">
        <v>1.9999999999999998E-5</v>
      </c>
      <c r="K218" s="172">
        <v>600</v>
      </c>
      <c r="L218" s="9">
        <v>4.7999999999999998E-6</v>
      </c>
      <c r="M218" s="9">
        <v>1.0999999999999999E-7</v>
      </c>
      <c r="O218" s="172">
        <v>700</v>
      </c>
      <c r="P218" s="9">
        <v>4.7999999999999998E-6</v>
      </c>
      <c r="R218" s="172">
        <v>500</v>
      </c>
      <c r="S218" s="9">
        <v>2.2999999999999996E-6</v>
      </c>
    </row>
    <row r="219" spans="2:19">
      <c r="B219" s="7">
        <v>75</v>
      </c>
      <c r="C219" s="7">
        <v>1.9077769241307352E-6</v>
      </c>
      <c r="D219" s="7">
        <v>9.235739758428274E-7</v>
      </c>
      <c r="E219" s="7">
        <v>9.2154446847806999E-7</v>
      </c>
      <c r="F219" s="7">
        <v>7.3799053934747796E-7</v>
      </c>
      <c r="H219" s="172">
        <v>1000</v>
      </c>
      <c r="I219" s="9">
        <v>2.0899999999999996E-5</v>
      </c>
      <c r="K219" s="172">
        <v>700</v>
      </c>
      <c r="L219" s="9">
        <v>5.2000000000000002E-6</v>
      </c>
      <c r="M219" s="9">
        <v>1.54E-7</v>
      </c>
      <c r="O219" s="172">
        <v>800</v>
      </c>
      <c r="P219" s="9">
        <v>4.9999999999999996E-6</v>
      </c>
      <c r="R219" s="172">
        <v>600</v>
      </c>
      <c r="S219" s="9">
        <v>2.7999999999999999E-6</v>
      </c>
    </row>
    <row r="220" spans="2:19">
      <c r="B220" s="7">
        <v>100</v>
      </c>
      <c r="C220" s="7">
        <v>3.380912076526912E-6</v>
      </c>
      <c r="D220" s="7">
        <v>2.1012831914185336E-6</v>
      </c>
      <c r="E220" s="7">
        <v>2.1812036279793481E-6</v>
      </c>
      <c r="F220" s="7">
        <v>1.95099994086531E-6</v>
      </c>
      <c r="H220" s="172">
        <v>1200</v>
      </c>
      <c r="I220" s="9">
        <v>2.23E-5</v>
      </c>
      <c r="K220" s="172">
        <v>800</v>
      </c>
      <c r="L220" s="9">
        <v>5.4999999999999999E-6</v>
      </c>
      <c r="M220" s="9">
        <v>2.0100000000000001E-7</v>
      </c>
      <c r="O220" s="172">
        <v>900</v>
      </c>
      <c r="P220" s="9">
        <v>4.9999999999999996E-6</v>
      </c>
      <c r="R220" s="172">
        <v>700</v>
      </c>
      <c r="S220" s="9">
        <v>3.1999999999999999E-6</v>
      </c>
    </row>
    <row r="221" spans="2:19">
      <c r="B221" s="7">
        <v>125</v>
      </c>
      <c r="C221" s="7">
        <v>3.9147659578422534E-6</v>
      </c>
      <c r="D221" s="7">
        <v>2.828687149507274E-6</v>
      </c>
      <c r="E221" s="7">
        <v>2.913135409241003E-6</v>
      </c>
      <c r="F221" s="7">
        <v>2.7960959374555908E-6</v>
      </c>
      <c r="H221" s="172">
        <v>1400</v>
      </c>
      <c r="I221" s="9">
        <v>2.3300000000000001E-5</v>
      </c>
      <c r="K221" s="172">
        <v>900</v>
      </c>
      <c r="L221" s="9">
        <v>5.7999999999999995E-6</v>
      </c>
      <c r="M221" s="9">
        <v>2.4999999999999999E-7</v>
      </c>
      <c r="O221" s="172">
        <v>1000</v>
      </c>
      <c r="P221" s="9">
        <v>5.2000000000000002E-6</v>
      </c>
      <c r="R221" s="172">
        <v>800</v>
      </c>
      <c r="S221" s="9">
        <v>3.7000000000000002E-6</v>
      </c>
    </row>
    <row r="222" spans="2:19">
      <c r="B222" s="7">
        <v>150</v>
      </c>
      <c r="C222" s="7">
        <v>4.2931514233422237E-6</v>
      </c>
      <c r="D222" s="7">
        <v>3.2740402828207192E-6</v>
      </c>
      <c r="E222" s="7">
        <v>3.4103946383900094E-6</v>
      </c>
      <c r="F222" s="7">
        <v>3.4242659652362892E-6</v>
      </c>
      <c r="H222" s="172">
        <v>1500</v>
      </c>
      <c r="I222" s="9">
        <v>2.3699999999999997E-5</v>
      </c>
      <c r="K222" s="172">
        <v>1000</v>
      </c>
      <c r="L222" s="9">
        <v>6.0000000000000002E-6</v>
      </c>
      <c r="M222" s="9">
        <v>3.0199999999999998E-7</v>
      </c>
      <c r="O222" s="172">
        <v>1200</v>
      </c>
      <c r="P222" s="9">
        <v>5.2999999999999992E-6</v>
      </c>
      <c r="R222" s="172">
        <v>900</v>
      </c>
      <c r="S222" s="9">
        <v>3.9999999999999998E-6</v>
      </c>
    </row>
    <row r="223" spans="2:19">
      <c r="B223" s="7">
        <v>175</v>
      </c>
      <c r="C223" s="7">
        <v>4.5109199599638798E-6</v>
      </c>
      <c r="D223" s="7">
        <v>3.6098124703671179E-6</v>
      </c>
      <c r="E223" s="7">
        <v>3.7878200199044006E-6</v>
      </c>
      <c r="F223" s="7">
        <v>3.8913513205869838E-6</v>
      </c>
      <c r="K223" s="172">
        <v>1100</v>
      </c>
      <c r="L223" s="9">
        <v>6.1999999999999999E-6</v>
      </c>
      <c r="M223" s="9">
        <v>3.5499999999999999E-7</v>
      </c>
      <c r="O223" s="172">
        <v>1400</v>
      </c>
      <c r="P223" s="9">
        <v>5.4E-6</v>
      </c>
      <c r="R223" s="172">
        <v>1000</v>
      </c>
      <c r="S223" s="9">
        <v>4.4000000000000002E-6</v>
      </c>
    </row>
    <row r="224" spans="2:19">
      <c r="B224" s="7">
        <v>200</v>
      </c>
      <c r="C224" s="7">
        <v>4.6962045607440944E-6</v>
      </c>
      <c r="D224" s="7">
        <v>3.854146366521026E-6</v>
      </c>
      <c r="E224" s="7">
        <v>4.0693772549565054E-6</v>
      </c>
      <c r="F224" s="7">
        <v>4.2175792972644486E-6</v>
      </c>
      <c r="K224" s="172">
        <v>1200</v>
      </c>
      <c r="L224" s="9">
        <v>6.2999999999999998E-6</v>
      </c>
      <c r="M224" s="9">
        <v>4.1099999999999996E-7</v>
      </c>
      <c r="O224" s="172">
        <v>1600</v>
      </c>
      <c r="P224" s="9">
        <v>5.5999999999999997E-6</v>
      </c>
      <c r="R224" s="172">
        <v>1100</v>
      </c>
      <c r="S224" s="9">
        <v>4.6999999999999999E-6</v>
      </c>
    </row>
    <row r="225" spans="2:19">
      <c r="B225" s="7">
        <v>225</v>
      </c>
      <c r="C225" s="7">
        <v>4.7941841478784384E-6</v>
      </c>
      <c r="D225" s="7">
        <v>4.0471707214050367E-6</v>
      </c>
      <c r="E225" s="7">
        <v>4.2852564226821724E-6</v>
      </c>
      <c r="F225" s="7">
        <v>4.3752099424118121E-6</v>
      </c>
      <c r="K225" s="172">
        <v>1300</v>
      </c>
      <c r="L225" s="9">
        <v>6.3999999999999997E-6</v>
      </c>
      <c r="M225" s="9">
        <v>4.6699999999999999E-7</v>
      </c>
      <c r="O225" s="172">
        <v>1800</v>
      </c>
      <c r="P225" s="9">
        <v>5.7999999999999995E-6</v>
      </c>
      <c r="R225" s="172">
        <v>1200</v>
      </c>
      <c r="S225" s="9">
        <v>4.9999999999999996E-6</v>
      </c>
    </row>
    <row r="226" spans="2:19">
      <c r="B226" s="7">
        <v>250</v>
      </c>
      <c r="C226" s="7">
        <v>4.8321573269943969E-6</v>
      </c>
      <c r="D226" s="7">
        <v>4.1771230749838345E-6</v>
      </c>
      <c r="E226" s="7">
        <v>4.4266565769891138E-6</v>
      </c>
      <c r="F226" s="7">
        <v>4.4512452035220633E-6</v>
      </c>
      <c r="H226" s="271" t="s">
        <v>638</v>
      </c>
      <c r="I226" s="270"/>
      <c r="K226" s="172">
        <v>1400</v>
      </c>
      <c r="L226" s="9">
        <v>6.3999999999999997E-6</v>
      </c>
      <c r="M226" s="9">
        <v>5.2399999999999998E-7</v>
      </c>
      <c r="O226" s="172">
        <v>2000</v>
      </c>
      <c r="P226" s="9">
        <v>6.0999999999999992E-6</v>
      </c>
      <c r="R226" s="172">
        <v>1300</v>
      </c>
      <c r="S226" s="9">
        <v>5.2000000000000002E-6</v>
      </c>
    </row>
    <row r="227" spans="2:19">
      <c r="B227" s="7">
        <v>275</v>
      </c>
      <c r="C227" s="7">
        <v>4.8204257286413562E-6</v>
      </c>
      <c r="D227" s="7">
        <v>4.2370805707183543E-6</v>
      </c>
      <c r="E227" s="7">
        <v>4.5493555182787931E-6</v>
      </c>
      <c r="F227" s="7">
        <v>4.4600738352370853E-6</v>
      </c>
      <c r="H227" s="62" t="s">
        <v>281</v>
      </c>
      <c r="I227" s="62" t="s">
        <v>54</v>
      </c>
      <c r="K227" s="172">
        <v>1500</v>
      </c>
      <c r="L227" s="9">
        <v>6.4999999999999996E-6</v>
      </c>
      <c r="M227" s="9">
        <v>5.8199999999999989E-7</v>
      </c>
      <c r="O227" s="172">
        <v>2200</v>
      </c>
      <c r="P227" s="9">
        <v>6.5999999999999995E-6</v>
      </c>
      <c r="R227" s="172">
        <v>1400</v>
      </c>
      <c r="S227" s="9">
        <v>5.4E-6</v>
      </c>
    </row>
    <row r="228" spans="2:19">
      <c r="B228" s="7">
        <v>293</v>
      </c>
      <c r="C228" s="7">
        <v>4.8083505804358047E-6</v>
      </c>
      <c r="D228" s="7">
        <v>4.2624367211945581E-6</v>
      </c>
      <c r="E228" s="7">
        <v>4.5784172223932893E-6</v>
      </c>
      <c r="F228" s="7">
        <v>4.4318409890626593E-6</v>
      </c>
      <c r="H228" s="172">
        <v>100</v>
      </c>
      <c r="I228" s="9">
        <v>2.5399999999999997E-5</v>
      </c>
      <c r="K228" s="172">
        <v>1600</v>
      </c>
      <c r="L228" s="9">
        <v>6.4999999999999996E-6</v>
      </c>
      <c r="M228" s="9">
        <v>6.4000000000000001E-7</v>
      </c>
      <c r="O228" s="172">
        <v>2400</v>
      </c>
      <c r="P228" s="9">
        <v>7.0999999999999989E-6</v>
      </c>
      <c r="R228" s="172">
        <v>1500</v>
      </c>
      <c r="S228" s="9">
        <v>5.5999999999999997E-6</v>
      </c>
    </row>
    <row r="229" spans="2:19">
      <c r="H229" s="172">
        <v>200</v>
      </c>
      <c r="I229" s="9">
        <v>2.8099999999999999E-5</v>
      </c>
      <c r="K229" s="172">
        <v>1700</v>
      </c>
      <c r="L229" s="9">
        <v>6.5999999999999995E-6</v>
      </c>
      <c r="M229" s="9">
        <v>6.9799999999999992E-7</v>
      </c>
      <c r="O229" s="172">
        <v>2600</v>
      </c>
      <c r="P229" s="9">
        <v>7.7999999999999999E-6</v>
      </c>
      <c r="R229" s="172">
        <v>1600</v>
      </c>
      <c r="S229" s="9">
        <v>5.7999999999999995E-6</v>
      </c>
    </row>
    <row r="230" spans="2:19">
      <c r="H230" s="172">
        <v>293</v>
      </c>
      <c r="I230" s="9">
        <v>3.2100000000000001E-5</v>
      </c>
      <c r="O230" s="172">
        <v>2800</v>
      </c>
      <c r="P230" s="9">
        <v>8.3000000000000002E-6</v>
      </c>
      <c r="R230" s="172">
        <v>1650</v>
      </c>
      <c r="S230" s="9">
        <v>5.7999999999999995E-6</v>
      </c>
    </row>
    <row r="231" spans="2:19">
      <c r="H231" s="172">
        <v>400</v>
      </c>
      <c r="I231" s="9">
        <v>4.0299999999999997E-5</v>
      </c>
      <c r="O231" s="172">
        <v>3000</v>
      </c>
      <c r="P231" s="9">
        <v>9.1999999999999983E-6</v>
      </c>
    </row>
    <row r="232" spans="2:19">
      <c r="O232" s="172">
        <v>3200</v>
      </c>
      <c r="P232" s="9">
        <v>9.9999999999999991E-6</v>
      </c>
    </row>
    <row r="233" spans="2:19">
      <c r="O233" s="172">
        <v>3400</v>
      </c>
      <c r="P233" s="9">
        <v>1.08E-5</v>
      </c>
    </row>
    <row r="234" spans="2:19">
      <c r="O234" s="172">
        <v>3600</v>
      </c>
      <c r="P234" s="9">
        <v>1.1599999999999999E-5</v>
      </c>
    </row>
    <row r="235" spans="2:19">
      <c r="B235" s="271" t="s">
        <v>646</v>
      </c>
      <c r="C235" s="270"/>
      <c r="E235" s="270" t="s">
        <v>645</v>
      </c>
      <c r="F235" s="270"/>
      <c r="H235" s="282" t="s">
        <v>649</v>
      </c>
      <c r="I235" s="283"/>
      <c r="K235" s="270" t="s">
        <v>648</v>
      </c>
      <c r="L235" s="270"/>
    </row>
    <row r="236" spans="2:19">
      <c r="B236" s="62" t="s">
        <v>281</v>
      </c>
      <c r="C236" s="62" t="s">
        <v>54</v>
      </c>
      <c r="E236" s="62" t="s">
        <v>281</v>
      </c>
      <c r="F236" s="62" t="s">
        <v>54</v>
      </c>
      <c r="H236" s="62" t="s">
        <v>281</v>
      </c>
      <c r="I236" s="62" t="s">
        <v>54</v>
      </c>
      <c r="K236" s="62" t="s">
        <v>281</v>
      </c>
      <c r="L236" s="62" t="s">
        <v>54</v>
      </c>
      <c r="N236" s="270" t="s">
        <v>647</v>
      </c>
      <c r="O236" s="270"/>
      <c r="R236" s="270" t="s">
        <v>696</v>
      </c>
      <c r="S236" s="270"/>
    </row>
    <row r="237" spans="2:19">
      <c r="B237" s="172">
        <v>0</v>
      </c>
      <c r="C237" s="9">
        <v>0</v>
      </c>
      <c r="E237" s="172">
        <v>0</v>
      </c>
      <c r="F237" s="9">
        <v>0</v>
      </c>
      <c r="H237" s="7">
        <v>0</v>
      </c>
      <c r="I237" s="9">
        <v>0</v>
      </c>
      <c r="K237" s="7">
        <v>15</v>
      </c>
      <c r="L237" s="9">
        <v>9.6670000000000005E-8</v>
      </c>
      <c r="N237" s="62" t="s">
        <v>281</v>
      </c>
      <c r="O237" s="62" t="s">
        <v>54</v>
      </c>
      <c r="R237" s="62" t="s">
        <v>330</v>
      </c>
      <c r="S237" s="62" t="s">
        <v>54</v>
      </c>
    </row>
    <row r="238" spans="2:19">
      <c r="B238" s="7">
        <v>5</v>
      </c>
      <c r="C238" s="9">
        <v>-1.3199999999999999E-7</v>
      </c>
      <c r="E238" s="172">
        <v>5</v>
      </c>
      <c r="F238" s="9">
        <v>6.8589999999999994E-8</v>
      </c>
      <c r="H238" s="7">
        <v>15</v>
      </c>
      <c r="I238" s="9">
        <v>-1.4799999999999998E-7</v>
      </c>
      <c r="K238" s="7">
        <v>20</v>
      </c>
      <c r="L238" s="9">
        <v>-3.3799999999999998E-7</v>
      </c>
      <c r="N238" s="7">
        <v>0</v>
      </c>
      <c r="O238" s="9">
        <v>6.4919999999999994E-11</v>
      </c>
      <c r="R238" s="7">
        <v>100</v>
      </c>
      <c r="S238" s="7">
        <v>7.4100405621484872E-6</v>
      </c>
    </row>
    <row r="239" spans="2:19">
      <c r="B239" s="7">
        <v>15</v>
      </c>
      <c r="C239" s="9">
        <v>-2.8000000000000002E-7</v>
      </c>
      <c r="E239" s="172">
        <v>7.5</v>
      </c>
      <c r="F239" s="9">
        <v>-1.37E-7</v>
      </c>
      <c r="H239" s="7">
        <v>20</v>
      </c>
      <c r="I239" s="9">
        <v>-2.3999999999999998E-7</v>
      </c>
      <c r="K239" s="7">
        <v>35</v>
      </c>
      <c r="L239" s="9">
        <v>-3.8200000000000001E-7</v>
      </c>
      <c r="N239" s="7">
        <v>10</v>
      </c>
      <c r="O239" s="9">
        <v>-3.5599999999999996E-7</v>
      </c>
      <c r="R239" s="7">
        <v>110</v>
      </c>
      <c r="S239" s="7">
        <v>7.3353329360322829E-6</v>
      </c>
    </row>
    <row r="240" spans="2:19">
      <c r="B240" s="7">
        <v>25</v>
      </c>
      <c r="C240" s="9">
        <v>-1.8799999999999999E-7</v>
      </c>
      <c r="E240" s="172">
        <v>10</v>
      </c>
      <c r="F240" s="9">
        <v>-2.4600000000000001E-7</v>
      </c>
      <c r="H240" s="7">
        <v>35</v>
      </c>
      <c r="I240" s="9">
        <v>-3.2500000000000001E-7</v>
      </c>
      <c r="K240" s="7">
        <v>45</v>
      </c>
      <c r="L240" s="9">
        <v>-3.6399999999999998E-7</v>
      </c>
      <c r="N240" s="7">
        <v>20</v>
      </c>
      <c r="O240" s="9">
        <v>-7.92E-7</v>
      </c>
      <c r="R240" s="7">
        <v>120</v>
      </c>
      <c r="S240" s="7">
        <v>7.6002406609481689E-6</v>
      </c>
    </row>
    <row r="241" spans="2:19">
      <c r="B241" s="7">
        <v>35</v>
      </c>
      <c r="C241" s="9">
        <v>7.1609999999999991E-8</v>
      </c>
      <c r="E241" s="172">
        <v>15</v>
      </c>
      <c r="F241" s="9">
        <v>-4.5299999999999999E-7</v>
      </c>
      <c r="H241" s="7">
        <v>45</v>
      </c>
      <c r="I241" s="9">
        <v>-3.3599999999999999E-7</v>
      </c>
      <c r="K241" s="7">
        <v>65</v>
      </c>
      <c r="L241" s="9">
        <v>-2.3099999999999999E-7</v>
      </c>
      <c r="N241" s="7">
        <v>30</v>
      </c>
      <c r="O241" s="9">
        <v>-8.9999999999999996E-7</v>
      </c>
      <c r="R241" s="7">
        <v>130</v>
      </c>
      <c r="S241" s="7">
        <v>7.9877187060508716E-6</v>
      </c>
    </row>
    <row r="242" spans="2:19">
      <c r="B242" s="7">
        <v>45</v>
      </c>
      <c r="C242" s="9">
        <v>3.3700000000000001E-7</v>
      </c>
      <c r="E242" s="172">
        <v>20</v>
      </c>
      <c r="F242" s="9">
        <v>-5.9599999999999999E-7</v>
      </c>
      <c r="H242" s="7">
        <v>55</v>
      </c>
      <c r="I242" s="9">
        <v>-3.1199999999999999E-7</v>
      </c>
      <c r="K242" s="7">
        <v>115</v>
      </c>
      <c r="L242" s="9">
        <v>7.17E-8</v>
      </c>
      <c r="N242" s="7">
        <v>50</v>
      </c>
      <c r="O242" s="9">
        <v>-1.0419999999999999E-6</v>
      </c>
      <c r="R242" s="7">
        <v>140</v>
      </c>
      <c r="S242" s="7">
        <v>8.3397754199030795E-6</v>
      </c>
    </row>
    <row r="243" spans="2:19">
      <c r="B243" s="7">
        <v>50</v>
      </c>
      <c r="C243" s="9">
        <v>6.5899999999999996E-7</v>
      </c>
      <c r="E243" s="172">
        <v>25</v>
      </c>
      <c r="F243" s="9">
        <v>-6.7000000000000004E-7</v>
      </c>
      <c r="H243" s="7">
        <v>65</v>
      </c>
      <c r="I243" s="9">
        <v>-2.5899999999999998E-7</v>
      </c>
      <c r="K243" s="7">
        <v>200</v>
      </c>
      <c r="L243" s="9">
        <v>3.0669999999999996E-8</v>
      </c>
      <c r="N243" s="7">
        <v>100</v>
      </c>
      <c r="O243" s="9">
        <v>-8.4299999999999991E-7</v>
      </c>
      <c r="R243" s="7">
        <v>150</v>
      </c>
      <c r="S243" s="7">
        <v>8.7217828019561078E-6</v>
      </c>
    </row>
    <row r="244" spans="2:19">
      <c r="B244" s="7">
        <v>75</v>
      </c>
      <c r="C244" s="9">
        <v>1.2699999999999999E-6</v>
      </c>
      <c r="E244" s="172">
        <v>30</v>
      </c>
      <c r="F244" s="9">
        <v>-7.2199999999999993E-7</v>
      </c>
      <c r="H244" s="7">
        <v>75</v>
      </c>
      <c r="I244" s="9">
        <v>-1.09E-7</v>
      </c>
      <c r="K244" s="7">
        <v>275</v>
      </c>
      <c r="L244" s="9">
        <v>8.4289999999999996E-8</v>
      </c>
      <c r="N244" s="7">
        <v>150</v>
      </c>
      <c r="O244" s="9">
        <v>-5.7999999999999995E-7</v>
      </c>
      <c r="R244" s="7">
        <v>160</v>
      </c>
      <c r="S244" s="7">
        <v>9.1358077380592472E-6</v>
      </c>
    </row>
    <row r="245" spans="2:19">
      <c r="B245" s="7">
        <v>125</v>
      </c>
      <c r="C245" s="9">
        <v>2.0209999999999998E-6</v>
      </c>
      <c r="E245" s="172">
        <v>50</v>
      </c>
      <c r="F245" s="9">
        <v>-7.7199999999999998E-7</v>
      </c>
      <c r="H245" s="7">
        <v>90</v>
      </c>
      <c r="I245" s="9">
        <v>1.2800000000000001E-7</v>
      </c>
      <c r="N245" s="7">
        <v>200</v>
      </c>
      <c r="O245" s="9">
        <v>-2.8899999999999995E-7</v>
      </c>
      <c r="R245" s="7">
        <v>170</v>
      </c>
      <c r="S245" s="7">
        <v>9.6939869060248253E-6</v>
      </c>
    </row>
    <row r="246" spans="2:19">
      <c r="B246" s="7">
        <v>175</v>
      </c>
      <c r="C246" s="9">
        <v>2.4619999999999999E-6</v>
      </c>
      <c r="E246" s="172">
        <v>75</v>
      </c>
      <c r="F246" s="9">
        <v>-6.9499999999999991E-7</v>
      </c>
      <c r="H246" s="7">
        <v>125</v>
      </c>
      <c r="I246" s="9">
        <v>6.7599999999999997E-7</v>
      </c>
      <c r="N246" s="7">
        <v>215</v>
      </c>
      <c r="O246" s="9">
        <v>-2.0200000000000001E-7</v>
      </c>
      <c r="R246" s="7">
        <v>180</v>
      </c>
      <c r="S246" s="7">
        <v>1.0023915424797164E-5</v>
      </c>
    </row>
    <row r="247" spans="2:19">
      <c r="B247" s="7">
        <v>220</v>
      </c>
      <c r="C247" s="9">
        <v>3.0399999999999997E-6</v>
      </c>
      <c r="E247" s="172">
        <v>100</v>
      </c>
      <c r="F247" s="9">
        <v>-4.8099999999999993E-7</v>
      </c>
      <c r="H247" s="7">
        <v>175</v>
      </c>
      <c r="I247" s="9">
        <v>1.536E-6</v>
      </c>
      <c r="N247" s="7">
        <v>273.14999999999998</v>
      </c>
      <c r="O247" s="9">
        <v>4.2279999999999999E-8</v>
      </c>
      <c r="R247" s="7">
        <v>190</v>
      </c>
      <c r="S247" s="7">
        <v>1.0459374618845079E-5</v>
      </c>
    </row>
    <row r="248" spans="2:19">
      <c r="B248" s="7">
        <v>273.14999999999998</v>
      </c>
      <c r="C248" s="9">
        <v>3.2449999999999998E-6</v>
      </c>
      <c r="E248" s="172">
        <v>150</v>
      </c>
      <c r="F248" s="9">
        <v>9.7739999999999987E-8</v>
      </c>
      <c r="H248" s="7">
        <v>225</v>
      </c>
      <c r="I248" s="9">
        <v>2.2639999999999998E-6</v>
      </c>
      <c r="N248" s="7">
        <v>300</v>
      </c>
      <c r="O248" s="9">
        <v>1.1509999999999999E-8</v>
      </c>
      <c r="R248" s="7">
        <v>200</v>
      </c>
      <c r="S248" s="7">
        <v>1.0796375730657538E-5</v>
      </c>
    </row>
    <row r="249" spans="2:19">
      <c r="E249" s="172">
        <v>200</v>
      </c>
      <c r="F249" s="9">
        <v>1.9299999999999999E-7</v>
      </c>
      <c r="H249" s="7">
        <v>275</v>
      </c>
      <c r="I249" s="9">
        <v>2.8889999999999998E-6</v>
      </c>
      <c r="R249" s="7">
        <v>210</v>
      </c>
      <c r="S249" s="7">
        <v>1.1094074430259386E-5</v>
      </c>
    </row>
    <row r="250" spans="2:19">
      <c r="E250" s="172">
        <v>250</v>
      </c>
      <c r="F250" s="9">
        <v>3.41E-7</v>
      </c>
      <c r="R250" s="7">
        <v>220</v>
      </c>
      <c r="S250" s="7">
        <v>1.1361822461660258E-5</v>
      </c>
    </row>
    <row r="251" spans="2:19">
      <c r="E251" s="172">
        <v>300</v>
      </c>
      <c r="F251" s="9">
        <v>4.0799999999999995E-7</v>
      </c>
      <c r="R251" s="7">
        <v>230</v>
      </c>
      <c r="S251" s="7">
        <v>1.1673630154858407E-5</v>
      </c>
    </row>
    <row r="252" spans="2:19">
      <c r="R252" s="7">
        <v>240</v>
      </c>
      <c r="S252" s="7">
        <v>1.2065001965034965E-5</v>
      </c>
    </row>
    <row r="253" spans="2:19">
      <c r="R253" s="7">
        <v>250</v>
      </c>
      <c r="S253" s="7">
        <v>1.2676767025448217E-5</v>
      </c>
    </row>
    <row r="254" spans="2:19" ht="12.75" customHeight="1">
      <c r="B254" s="279" t="s">
        <v>724</v>
      </c>
      <c r="C254" s="280"/>
      <c r="E254" s="269" t="s">
        <v>703</v>
      </c>
      <c r="F254" s="269"/>
      <c r="H254" s="269" t="s">
        <v>714</v>
      </c>
      <c r="I254" s="269"/>
      <c r="J254" s="269"/>
      <c r="K254" s="269"/>
      <c r="L254" s="269"/>
      <c r="M254" s="269"/>
      <c r="N254" s="269"/>
      <c r="O254" s="269"/>
      <c r="R254" s="7">
        <v>260</v>
      </c>
      <c r="S254" s="7">
        <v>1.3098665055473121E-5</v>
      </c>
    </row>
    <row r="255" spans="2:19">
      <c r="B255" s="62" t="s">
        <v>330</v>
      </c>
      <c r="C255" s="62" t="s">
        <v>54</v>
      </c>
      <c r="E255" s="62" t="s">
        <v>281</v>
      </c>
      <c r="F255" s="62" t="s">
        <v>54</v>
      </c>
      <c r="H255" s="62" t="s">
        <v>281</v>
      </c>
      <c r="I255" s="62" t="s">
        <v>709</v>
      </c>
      <c r="J255" s="62" t="s">
        <v>710</v>
      </c>
      <c r="K255" s="62" t="s">
        <v>711</v>
      </c>
      <c r="L255" s="62" t="s">
        <v>712</v>
      </c>
      <c r="M255" s="62" t="s">
        <v>713</v>
      </c>
      <c r="N255" s="62" t="s">
        <v>591</v>
      </c>
      <c r="O255" s="62" t="s">
        <v>708</v>
      </c>
      <c r="R255" s="7">
        <v>270</v>
      </c>
      <c r="S255" s="7">
        <v>1.35733256539318E-5</v>
      </c>
    </row>
    <row r="256" spans="2:19">
      <c r="B256" s="7">
        <v>25</v>
      </c>
      <c r="C256" s="9">
        <v>1.9999999999999999E-7</v>
      </c>
      <c r="E256" s="75">
        <v>11.719702</v>
      </c>
      <c r="F256" s="9">
        <v>1.1000000000000001E-6</v>
      </c>
      <c r="H256" s="7">
        <v>60</v>
      </c>
      <c r="I256" s="9"/>
      <c r="J256" s="9">
        <v>3.4000000000000003E-7</v>
      </c>
      <c r="K256" s="9"/>
      <c r="L256" s="9"/>
      <c r="M256" s="9"/>
      <c r="N256" s="9"/>
      <c r="O256" s="9"/>
      <c r="R256" s="7">
        <v>280</v>
      </c>
      <c r="S256" s="7">
        <v>1.3910966409219841E-5</v>
      </c>
    </row>
    <row r="257" spans="2:19">
      <c r="B257" s="7">
        <v>50</v>
      </c>
      <c r="C257" s="9">
        <v>3.4000000000000001E-6</v>
      </c>
      <c r="E257" s="75">
        <v>17.6067</v>
      </c>
      <c r="F257" s="9">
        <v>3.0222999999999998E-6</v>
      </c>
      <c r="H257" s="7">
        <v>65</v>
      </c>
      <c r="I257" s="9"/>
      <c r="J257" s="9"/>
      <c r="K257" s="9">
        <v>3.5999999999999998E-6</v>
      </c>
      <c r="L257" s="9"/>
      <c r="M257" s="9">
        <v>6.0999999999999998E-7</v>
      </c>
      <c r="N257" s="9"/>
      <c r="O257" s="9">
        <v>1.0499999999999999E-5</v>
      </c>
      <c r="R257" s="7">
        <v>290</v>
      </c>
      <c r="S257" s="7">
        <v>1.4248607164508058E-5</v>
      </c>
    </row>
    <row r="258" spans="2:19">
      <c r="B258" s="7">
        <v>75</v>
      </c>
      <c r="C258" s="9">
        <v>6.7000000000000002E-6</v>
      </c>
      <c r="E258" s="75">
        <v>26.108699999999999</v>
      </c>
      <c r="F258" s="9">
        <v>7.0701000000000003E-6</v>
      </c>
      <c r="H258" s="7">
        <v>70</v>
      </c>
      <c r="I258" s="9">
        <v>5.9999999999999997E-7</v>
      </c>
      <c r="J258" s="9">
        <v>5.3000000000000001E-7</v>
      </c>
      <c r="K258" s="9">
        <v>4.0999999999999997E-6</v>
      </c>
      <c r="L258" s="9">
        <v>1.1200000000000001E-6</v>
      </c>
      <c r="M258" s="9">
        <v>7.7999999999999994E-7</v>
      </c>
      <c r="N258" s="9">
        <v>6.9999999999999997E-7</v>
      </c>
      <c r="O258" s="9">
        <v>1.0900000000000001E-5</v>
      </c>
      <c r="R258" s="7">
        <v>293</v>
      </c>
      <c r="S258" s="7">
        <v>1.4532109907935081E-5</v>
      </c>
    </row>
    <row r="259" spans="2:19">
      <c r="B259" s="7">
        <v>100</v>
      </c>
      <c r="C259" s="9">
        <v>9.5000000000000005E-6</v>
      </c>
      <c r="E259" s="75">
        <v>38.871600000000001</v>
      </c>
      <c r="F259" s="9">
        <v>1.2403E-5</v>
      </c>
      <c r="H259" s="7">
        <v>80</v>
      </c>
      <c r="I259" s="9">
        <v>7.7999999999999994E-7</v>
      </c>
      <c r="J259" s="9">
        <v>7.5000000000000002E-7</v>
      </c>
      <c r="K259" s="9">
        <v>5.1100000000000002E-6</v>
      </c>
      <c r="L259" s="9">
        <v>1.81E-6</v>
      </c>
      <c r="M259" s="9">
        <v>1.1399999999999999E-6</v>
      </c>
      <c r="N259" s="9">
        <v>1.24E-6</v>
      </c>
      <c r="O259" s="9">
        <v>1.1399999999999999E-5</v>
      </c>
      <c r="R259" s="7">
        <v>300</v>
      </c>
      <c r="S259" s="7">
        <v>1.4470446891536369E-5</v>
      </c>
    </row>
    <row r="260" spans="2:19">
      <c r="B260" s="7">
        <v>150</v>
      </c>
      <c r="C260" s="9">
        <v>1.36E-5</v>
      </c>
      <c r="E260" s="75">
        <v>50.308199999999999</v>
      </c>
      <c r="F260" s="9">
        <v>1.6946E-5</v>
      </c>
      <c r="H260" s="7">
        <v>90</v>
      </c>
      <c r="I260" s="9">
        <v>1.1999999999999999E-6</v>
      </c>
      <c r="J260" s="9">
        <v>1.0699999999999999E-6</v>
      </c>
      <c r="K260" s="9">
        <v>6.3499999999999993E-6</v>
      </c>
      <c r="L260" s="9">
        <v>2.4599999999999997E-6</v>
      </c>
      <c r="M260" s="9">
        <v>1.5799999999999999E-6</v>
      </c>
      <c r="N260" s="9">
        <v>1.7199999999999998E-6</v>
      </c>
      <c r="O260" s="9">
        <v>1.1800000000000001E-5</v>
      </c>
      <c r="R260" s="7">
        <v>310</v>
      </c>
      <c r="S260" s="7">
        <v>1.4386110466484028E-5</v>
      </c>
    </row>
    <row r="261" spans="2:19">
      <c r="B261" s="7">
        <v>200</v>
      </c>
      <c r="C261" s="9">
        <v>1.5999999999999999E-5</v>
      </c>
      <c r="E261" s="75">
        <v>64.140600000000006</v>
      </c>
      <c r="F261" s="9">
        <v>2.228E-5</v>
      </c>
      <c r="H261" s="7">
        <v>100</v>
      </c>
      <c r="I261" s="9">
        <v>1.75E-6</v>
      </c>
      <c r="J261" s="9">
        <v>1.5199999999999998E-6</v>
      </c>
      <c r="K261" s="9">
        <v>7.5999999999999992E-6</v>
      </c>
      <c r="L261" s="9">
        <v>3.0699999999999998E-6</v>
      </c>
      <c r="M261" s="9">
        <v>2.0999999999999998E-6</v>
      </c>
      <c r="N261" s="9">
        <v>2.2799999999999998E-6</v>
      </c>
      <c r="O261" s="9">
        <v>1.2199999999999998E-5</v>
      </c>
      <c r="R261" s="7">
        <v>320</v>
      </c>
      <c r="S261" s="7">
        <v>1.4698395508715484E-5</v>
      </c>
    </row>
    <row r="262" spans="2:19">
      <c r="B262" s="7">
        <v>250</v>
      </c>
      <c r="C262" s="9">
        <v>1.8300000000000001E-5</v>
      </c>
      <c r="E262" s="75">
        <v>75.848600000000005</v>
      </c>
      <c r="F262" s="9">
        <v>2.6528000000000001E-5</v>
      </c>
      <c r="H262" s="7">
        <v>110</v>
      </c>
      <c r="I262" s="9">
        <v>2.2500000000000001E-6</v>
      </c>
      <c r="J262" s="9">
        <v>2.08E-6</v>
      </c>
      <c r="K262" s="9">
        <v>8.8100000000000004E-6</v>
      </c>
      <c r="L262" s="9">
        <v>3.58E-6</v>
      </c>
      <c r="M262" s="9">
        <v>2.6099999999999996E-6</v>
      </c>
      <c r="N262" s="9">
        <v>2.6499999999999996E-6</v>
      </c>
      <c r="O262" s="9">
        <v>1.2499999999999999E-5</v>
      </c>
      <c r="R262" s="7">
        <v>330</v>
      </c>
      <c r="S262" s="7">
        <v>1.4698395526633879E-5</v>
      </c>
    </row>
    <row r="263" spans="2:19">
      <c r="B263" s="7">
        <v>293</v>
      </c>
      <c r="C263" s="9">
        <v>1.98E-5</v>
      </c>
      <c r="E263" s="75">
        <v>91.032399999999996</v>
      </c>
      <c r="F263" s="9">
        <v>3.0778999999999998E-5</v>
      </c>
      <c r="H263" s="7">
        <v>120</v>
      </c>
      <c r="I263" s="9">
        <v>2.8700000000000001E-6</v>
      </c>
      <c r="J263" s="9">
        <v>2.5699999999999995E-6</v>
      </c>
      <c r="K263" s="9">
        <v>9.8900000000000002E-6</v>
      </c>
      <c r="L263" s="9">
        <v>4.0399999999999994E-6</v>
      </c>
      <c r="M263" s="9">
        <v>3.1999999999999999E-6</v>
      </c>
      <c r="N263" s="9">
        <v>3.0399999999999997E-6</v>
      </c>
      <c r="O263" s="9">
        <v>1.2699999999999999E-5</v>
      </c>
      <c r="R263" s="7">
        <v>340</v>
      </c>
      <c r="S263" s="7">
        <v>1.4958072182151034E-5</v>
      </c>
    </row>
    <row r="264" spans="2:19">
      <c r="B264" s="7">
        <v>300</v>
      </c>
      <c r="C264" s="9">
        <v>1.9899999999999999E-5</v>
      </c>
      <c r="E264" s="75">
        <v>102.50320000000001</v>
      </c>
      <c r="F264" s="9">
        <v>3.2761E-5</v>
      </c>
      <c r="H264" s="7">
        <v>130</v>
      </c>
      <c r="I264" s="9">
        <v>3.45E-6</v>
      </c>
      <c r="J264" s="9">
        <v>3.0099999999999996E-6</v>
      </c>
      <c r="K264" s="9">
        <v>1.0900000000000001E-5</v>
      </c>
      <c r="L264" s="9">
        <v>4.4599999999999996E-6</v>
      </c>
      <c r="M264" s="9">
        <v>3.8599999999999995E-6</v>
      </c>
      <c r="N264" s="9">
        <v>3.3299999999999999E-6</v>
      </c>
      <c r="O264" s="9">
        <v>1.29E-5</v>
      </c>
      <c r="R264" s="7">
        <v>350</v>
      </c>
      <c r="S264" s="7">
        <v>1.5182263365244645E-5</v>
      </c>
    </row>
    <row r="265" spans="2:19">
      <c r="B265" s="7">
        <v>350</v>
      </c>
      <c r="C265" s="9">
        <v>2.1299999999999999E-5</v>
      </c>
      <c r="E265" s="75">
        <v>114.5074</v>
      </c>
      <c r="F265" s="9">
        <v>3.4842000000000003E-5</v>
      </c>
      <c r="H265" s="7">
        <v>140</v>
      </c>
      <c r="I265" s="9">
        <v>4.0199999999999996E-6</v>
      </c>
      <c r="J265" s="9">
        <v>3.3999999999999996E-6</v>
      </c>
      <c r="K265" s="9">
        <v>1.1699999999999998E-5</v>
      </c>
      <c r="L265" s="9">
        <v>4.7699999999999992E-6</v>
      </c>
      <c r="M265" s="9">
        <v>4.3699999999999997E-6</v>
      </c>
      <c r="N265" s="9">
        <v>3.5999999999999998E-6</v>
      </c>
      <c r="O265" s="9">
        <v>1.3099999999999998E-5</v>
      </c>
      <c r="R265" s="7">
        <v>360</v>
      </c>
      <c r="S265" s="7">
        <v>1.5416532898401861E-5</v>
      </c>
    </row>
    <row r="266" spans="2:19">
      <c r="B266" s="234"/>
      <c r="C266" s="235"/>
      <c r="E266" s="75">
        <v>126.2615</v>
      </c>
      <c r="F266" s="9">
        <v>3.5642000000000002E-5</v>
      </c>
      <c r="H266" s="7">
        <v>150</v>
      </c>
      <c r="I266" s="9">
        <v>4.6299999999999997E-6</v>
      </c>
      <c r="J266" s="9">
        <v>3.7799999999999998E-6</v>
      </c>
      <c r="K266" s="9">
        <v>1.26E-5</v>
      </c>
      <c r="L266" s="9">
        <v>5.0799999999999996E-6</v>
      </c>
      <c r="M266" s="9">
        <v>4.95E-6</v>
      </c>
      <c r="N266" s="9">
        <v>3.7999999999999996E-6</v>
      </c>
      <c r="O266" s="9">
        <v>1.33E-5</v>
      </c>
      <c r="R266" s="7">
        <v>370</v>
      </c>
      <c r="S266" s="7">
        <v>1.5805905605419863E-5</v>
      </c>
    </row>
    <row r="267" spans="2:19">
      <c r="E267" s="75">
        <v>150.82849999999999</v>
      </c>
      <c r="F267" s="9">
        <v>3.803E-5</v>
      </c>
      <c r="H267" s="7">
        <v>160</v>
      </c>
      <c r="I267" s="9">
        <v>5.2199999999999991E-6</v>
      </c>
      <c r="J267" s="9">
        <v>4.1399999999999993E-6</v>
      </c>
      <c r="K267" s="9">
        <v>1.33E-5</v>
      </c>
      <c r="L267" s="9">
        <v>5.3700000000000003E-6</v>
      </c>
      <c r="M267" s="9">
        <v>5.48E-6</v>
      </c>
      <c r="N267" s="9">
        <v>3.9700000000000001E-6</v>
      </c>
      <c r="O267" s="9">
        <v>1.34E-5</v>
      </c>
      <c r="R267" s="7">
        <v>380</v>
      </c>
      <c r="S267" s="7">
        <v>1.5771876850775076E-5</v>
      </c>
    </row>
    <row r="268" spans="2:19">
      <c r="B268" s="269" t="s">
        <v>721</v>
      </c>
      <c r="C268" s="269"/>
      <c r="E268" s="75">
        <v>177.00239999999999</v>
      </c>
      <c r="F268" s="9">
        <v>4.0224E-5</v>
      </c>
      <c r="H268" s="7">
        <v>170</v>
      </c>
      <c r="I268" s="9">
        <v>5.6999999999999996E-6</v>
      </c>
      <c r="J268" s="9">
        <v>4.4800000000000003E-6</v>
      </c>
      <c r="K268" s="9">
        <v>1.3899999999999999E-5</v>
      </c>
      <c r="L268" s="9">
        <v>5.5799999999999999E-6</v>
      </c>
      <c r="M268" s="9">
        <v>6.0000000000000002E-6</v>
      </c>
      <c r="N268" s="9">
        <v>4.1100000000000005E-6</v>
      </c>
      <c r="O268" s="9">
        <v>1.3499999999999999E-5</v>
      </c>
      <c r="R268" s="7">
        <v>390</v>
      </c>
      <c r="S268" s="7">
        <v>1.5973951235823906E-5</v>
      </c>
    </row>
    <row r="269" spans="2:19">
      <c r="B269" s="62" t="s">
        <v>330</v>
      </c>
      <c r="C269" s="62" t="s">
        <v>54</v>
      </c>
      <c r="E269" s="75">
        <v>199.96889999999999</v>
      </c>
      <c r="F269" s="9">
        <v>4.2314999999999997E-5</v>
      </c>
      <c r="H269" s="7">
        <v>180</v>
      </c>
      <c r="I269" s="9">
        <v>6.1799999999999993E-6</v>
      </c>
      <c r="J269" s="9">
        <v>4.7599999999999993E-6</v>
      </c>
      <c r="K269" s="9">
        <v>1.45E-5</v>
      </c>
      <c r="L269" s="9">
        <v>5.7899999999999996E-6</v>
      </c>
      <c r="M269" s="9">
        <v>6.4899999999999997E-6</v>
      </c>
      <c r="N269" s="9">
        <v>4.2300000000000002E-6</v>
      </c>
      <c r="O269" s="9">
        <v>1.3599999999999999E-5</v>
      </c>
      <c r="R269" s="7">
        <v>400</v>
      </c>
      <c r="S269" s="7">
        <v>1.6139549657474567E-5</v>
      </c>
    </row>
    <row r="270" spans="2:19">
      <c r="B270" s="7">
        <v>25</v>
      </c>
      <c r="C270" s="9">
        <v>-6.9999999999999997E-7</v>
      </c>
      <c r="E270" s="75">
        <v>225.87690000000001</v>
      </c>
      <c r="F270" s="9">
        <v>4.4409999999999997E-5</v>
      </c>
      <c r="H270" s="7">
        <v>190</v>
      </c>
      <c r="I270" s="9">
        <v>6.6499999999999999E-6</v>
      </c>
      <c r="J270" s="9">
        <v>5.0300000000000001E-6</v>
      </c>
      <c r="K270" s="9">
        <v>1.4999999999999999E-5</v>
      </c>
      <c r="L270" s="9">
        <v>5.9900000000000002E-6</v>
      </c>
      <c r="M270" s="9">
        <v>6.9499999999999995E-6</v>
      </c>
      <c r="N270" s="9">
        <v>4.33E-6</v>
      </c>
      <c r="O270" s="9">
        <v>1.3699999999999999E-5</v>
      </c>
    </row>
    <row r="271" spans="2:19">
      <c r="B271" s="7">
        <v>60</v>
      </c>
      <c r="C271" s="9">
        <v>-8.2999999999999989E-7</v>
      </c>
      <c r="E271" s="75">
        <v>250.7165</v>
      </c>
      <c r="F271" s="9">
        <v>4.6405E-5</v>
      </c>
      <c r="H271" s="7">
        <v>200</v>
      </c>
      <c r="I271" s="9">
        <v>7.1299999999999995E-6</v>
      </c>
      <c r="J271" s="9">
        <v>5.2599999999999996E-6</v>
      </c>
      <c r="K271" s="9">
        <v>1.5500000000000001E-5</v>
      </c>
      <c r="L271" s="9">
        <v>6.1699999999999994E-6</v>
      </c>
      <c r="M271" s="9">
        <v>7.3899999999999995E-6</v>
      </c>
      <c r="N271" s="9">
        <v>4.4499999999999997E-6</v>
      </c>
      <c r="O271" s="9">
        <v>1.38E-5</v>
      </c>
    </row>
    <row r="272" spans="2:19">
      <c r="B272" s="7">
        <v>65</v>
      </c>
      <c r="C272" s="9">
        <v>-8.1499999999999993E-7</v>
      </c>
      <c r="E272" s="75">
        <v>277.17360000000002</v>
      </c>
      <c r="F272" s="9">
        <v>4.7416000000000001E-5</v>
      </c>
      <c r="H272" s="7">
        <v>210</v>
      </c>
      <c r="I272" s="9">
        <v>7.6999999999999991E-6</v>
      </c>
      <c r="J272" s="9">
        <v>5.4999999999999999E-6</v>
      </c>
      <c r="K272" s="9">
        <v>1.59E-5</v>
      </c>
      <c r="L272" s="9">
        <v>6.2999999999999998E-6</v>
      </c>
      <c r="M272" s="9">
        <v>7.7999999999999999E-6</v>
      </c>
      <c r="N272" s="9">
        <v>4.5000000000000001E-6</v>
      </c>
      <c r="O272" s="9">
        <v>1.38E-5</v>
      </c>
    </row>
    <row r="273" spans="2:15">
      <c r="B273" s="7">
        <v>70</v>
      </c>
      <c r="C273" s="9">
        <v>-7.9999999999999996E-7</v>
      </c>
      <c r="E273" s="75">
        <v>289.85948400000001</v>
      </c>
      <c r="F273" s="9">
        <v>4.8000000000000001E-5</v>
      </c>
      <c r="H273" s="7">
        <v>220</v>
      </c>
      <c r="I273" s="9">
        <v>7.9000000000000006E-6</v>
      </c>
      <c r="J273" s="9">
        <v>5.6999999999999996E-6</v>
      </c>
      <c r="K273" s="9">
        <v>1.6399999999999999E-5</v>
      </c>
      <c r="L273" s="9">
        <v>6.4999999999999996E-6</v>
      </c>
      <c r="M273" s="9">
        <v>8.1999999999999994E-6</v>
      </c>
      <c r="N273" s="9">
        <v>4.5999999999999992E-6</v>
      </c>
      <c r="O273" s="9">
        <v>1.3899999999999999E-5</v>
      </c>
    </row>
    <row r="274" spans="2:15">
      <c r="B274" s="7">
        <v>80</v>
      </c>
      <c r="C274" s="9">
        <v>-7.4399999999999999E-7</v>
      </c>
      <c r="H274" s="7">
        <v>230</v>
      </c>
      <c r="I274" s="9">
        <v>8.3000000000000002E-6</v>
      </c>
      <c r="J274" s="9">
        <v>5.9000000000000003E-6</v>
      </c>
      <c r="K274" s="9">
        <v>1.6799999999999998E-5</v>
      </c>
      <c r="L274" s="9">
        <v>6.7000000000000002E-6</v>
      </c>
      <c r="M274" s="9">
        <v>8.4999999999999999E-6</v>
      </c>
      <c r="N274" s="9">
        <v>4.6999999999999999E-6</v>
      </c>
      <c r="O274" s="9">
        <v>1.4E-5</v>
      </c>
    </row>
    <row r="275" spans="2:15">
      <c r="B275" s="7">
        <v>90</v>
      </c>
      <c r="C275" s="9">
        <v>-6.8800000000000002E-7</v>
      </c>
      <c r="H275" s="7">
        <v>240</v>
      </c>
      <c r="I275" s="9">
        <v>8.599999999999999E-6</v>
      </c>
      <c r="J275" s="9">
        <v>6.0000000000000002E-6</v>
      </c>
      <c r="K275" s="9">
        <v>1.7199999999999998E-5</v>
      </c>
      <c r="L275" s="9">
        <v>6.7999999999999993E-6</v>
      </c>
      <c r="M275" s="9">
        <v>8.8000000000000004E-6</v>
      </c>
      <c r="N275" s="9">
        <v>4.7999999999999998E-6</v>
      </c>
      <c r="O275" s="9">
        <v>1.4099999999999999E-5</v>
      </c>
    </row>
    <row r="276" spans="2:15">
      <c r="B276" s="7">
        <v>100</v>
      </c>
      <c r="C276" s="9">
        <v>-6.3199999999999994E-7</v>
      </c>
      <c r="E276" s="269" t="s">
        <v>722</v>
      </c>
      <c r="F276" s="269"/>
      <c r="H276" s="7">
        <v>250</v>
      </c>
      <c r="I276" s="9">
        <v>9.0000000000000002E-6</v>
      </c>
      <c r="J276" s="9">
        <v>6.1999999999999999E-6</v>
      </c>
      <c r="K276" s="9">
        <v>1.7499999999999998E-5</v>
      </c>
      <c r="L276" s="9">
        <v>6.9E-6</v>
      </c>
      <c r="M276" s="9">
        <v>9.0999999999999993E-6</v>
      </c>
      <c r="N276" s="9">
        <v>4.9000000000000005E-6</v>
      </c>
      <c r="O276" s="9">
        <v>1.4099999999999999E-5</v>
      </c>
    </row>
    <row r="277" spans="2:15">
      <c r="B277" s="7">
        <v>110</v>
      </c>
      <c r="C277" s="9">
        <v>-5.7600000000000008E-7</v>
      </c>
      <c r="E277" s="62" t="s">
        <v>330</v>
      </c>
      <c r="F277" s="62" t="s">
        <v>54</v>
      </c>
      <c r="H277" s="7">
        <v>260</v>
      </c>
      <c r="I277" s="9">
        <v>9.3000000000000007E-6</v>
      </c>
      <c r="J277" s="9">
        <v>6.3999999999999997E-6</v>
      </c>
      <c r="K277" s="9">
        <v>1.7799999999999999E-5</v>
      </c>
      <c r="L277" s="9">
        <v>6.9999999999999999E-6</v>
      </c>
      <c r="M277" s="9">
        <v>9.3999999999999998E-6</v>
      </c>
      <c r="N277" s="9">
        <v>4.9999999999999996E-6</v>
      </c>
      <c r="O277" s="9">
        <v>1.4199999999999998E-5</v>
      </c>
    </row>
    <row r="278" spans="2:15">
      <c r="B278" s="7">
        <v>120</v>
      </c>
      <c r="C278" s="9">
        <v>-5.2E-7</v>
      </c>
      <c r="E278" s="7">
        <v>23</v>
      </c>
      <c r="F278" s="9">
        <v>1.9999999999999999E-7</v>
      </c>
      <c r="H278" s="7">
        <v>270</v>
      </c>
      <c r="I278" s="9">
        <v>9.5999999999999996E-6</v>
      </c>
      <c r="J278" s="9">
        <v>6.5999999999999995E-6</v>
      </c>
      <c r="K278" s="9">
        <v>1.8099999999999999E-5</v>
      </c>
      <c r="L278" s="9">
        <v>7.0999999999999989E-6</v>
      </c>
      <c r="M278" s="9">
        <v>9.6999999999999986E-6</v>
      </c>
      <c r="N278" s="9">
        <v>5.0999999999999995E-6</v>
      </c>
      <c r="O278" s="9">
        <v>1.43E-5</v>
      </c>
    </row>
    <row r="279" spans="2:15">
      <c r="B279" s="7">
        <v>130</v>
      </c>
      <c r="C279" s="9">
        <v>-4.4199999999999996E-7</v>
      </c>
      <c r="E279" s="7">
        <v>48</v>
      </c>
      <c r="F279" s="9">
        <v>1.1999999999999999E-6</v>
      </c>
      <c r="H279" s="7">
        <v>280</v>
      </c>
      <c r="I279" s="9">
        <v>9.9000000000000001E-6</v>
      </c>
      <c r="J279" s="9">
        <v>6.7000000000000002E-6</v>
      </c>
      <c r="K279" s="9">
        <v>1.8399999999999997E-5</v>
      </c>
      <c r="L279" s="9">
        <v>7.1999999999999997E-6</v>
      </c>
      <c r="M279" s="9">
        <v>9.9999999999999991E-6</v>
      </c>
      <c r="N279" s="9">
        <v>5.2000000000000002E-6</v>
      </c>
      <c r="O279" s="9">
        <v>1.43E-5</v>
      </c>
    </row>
    <row r="280" spans="2:15">
      <c r="B280" s="7">
        <v>140</v>
      </c>
      <c r="C280" s="9">
        <v>-3.6399999999999998E-7</v>
      </c>
      <c r="E280" s="7">
        <v>73</v>
      </c>
      <c r="F280" s="9">
        <v>4.4000000000000002E-6</v>
      </c>
      <c r="H280" s="7">
        <v>290</v>
      </c>
      <c r="I280" s="9">
        <v>1.0199999999999999E-5</v>
      </c>
      <c r="J280" s="9">
        <v>6.7999999999999993E-6</v>
      </c>
      <c r="K280" s="9">
        <v>1.8699999999999997E-5</v>
      </c>
      <c r="L280" s="9">
        <v>7.2999999999999996E-6</v>
      </c>
      <c r="M280" s="9">
        <v>1.0199999999999999E-5</v>
      </c>
      <c r="N280" s="9">
        <v>5.2999999999999992E-6</v>
      </c>
      <c r="O280" s="9">
        <v>1.4399999999999999E-5</v>
      </c>
    </row>
    <row r="281" spans="2:15">
      <c r="B281" s="7">
        <v>150</v>
      </c>
      <c r="C281" s="9">
        <v>-2.8599999999999999E-7</v>
      </c>
      <c r="E281" s="7">
        <v>123</v>
      </c>
      <c r="F281" s="9">
        <v>1.4800000000000001E-5</v>
      </c>
      <c r="H281" s="7">
        <v>300</v>
      </c>
      <c r="I281" s="9">
        <v>1.04E-5</v>
      </c>
      <c r="J281" s="9">
        <v>6.9E-6</v>
      </c>
      <c r="K281" s="9">
        <v>1.8899999999999999E-5</v>
      </c>
      <c r="L281" s="9">
        <v>7.4000000000000003E-6</v>
      </c>
      <c r="M281" s="9">
        <v>1.04E-5</v>
      </c>
      <c r="N281" s="9">
        <v>5.2999999999999992E-6</v>
      </c>
      <c r="O281" s="9">
        <v>1.4399999999999999E-5</v>
      </c>
    </row>
    <row r="282" spans="2:15">
      <c r="B282" s="7">
        <v>160</v>
      </c>
      <c r="C282" s="9">
        <v>-2.0799999999999996E-7</v>
      </c>
      <c r="E282" s="7">
        <v>173</v>
      </c>
      <c r="F282" s="9">
        <v>2.3399999999999996E-5</v>
      </c>
      <c r="H282" s="7">
        <v>310</v>
      </c>
      <c r="I282" s="9">
        <v>1.0699999999999999E-5</v>
      </c>
      <c r="J282" s="9">
        <v>6.9999999999999999E-6</v>
      </c>
      <c r="K282" s="9">
        <v>1.91E-5</v>
      </c>
      <c r="L282" s="9">
        <v>7.4999999999999993E-6</v>
      </c>
      <c r="M282" s="9">
        <v>1.0599999999999998E-5</v>
      </c>
      <c r="N282" s="9">
        <v>5.4E-6</v>
      </c>
      <c r="O282" s="9">
        <v>1.45E-5</v>
      </c>
    </row>
    <row r="283" spans="2:15">
      <c r="B283" s="7">
        <v>170</v>
      </c>
      <c r="C283" s="9">
        <v>-1.3E-7</v>
      </c>
      <c r="E283" s="7">
        <v>223</v>
      </c>
      <c r="F283" s="9">
        <v>2.9E-5</v>
      </c>
    </row>
    <row r="284" spans="2:15">
      <c r="B284" s="7">
        <v>180</v>
      </c>
      <c r="C284" s="9">
        <v>-7.3999999999999988E-8</v>
      </c>
      <c r="E284" s="7">
        <v>273</v>
      </c>
      <c r="F284" s="9">
        <v>3.2299999999999999E-5</v>
      </c>
    </row>
    <row r="285" spans="2:15">
      <c r="B285" s="7">
        <v>190</v>
      </c>
      <c r="C285" s="9">
        <v>-1.7999999999999986E-8</v>
      </c>
      <c r="E285" s="7">
        <v>293</v>
      </c>
      <c r="F285" s="9">
        <v>3.3200000000000001E-5</v>
      </c>
      <c r="H285" s="269" t="s">
        <v>723</v>
      </c>
      <c r="I285" s="269"/>
      <c r="K285" s="269" t="s">
        <v>725</v>
      </c>
      <c r="L285" s="269"/>
    </row>
    <row r="286" spans="2:15">
      <c r="B286" s="7">
        <v>200</v>
      </c>
      <c r="C286" s="9">
        <v>3.8000000000000003E-8</v>
      </c>
      <c r="E286" s="7">
        <v>373</v>
      </c>
      <c r="F286" s="9">
        <v>3.6399999999999997E-5</v>
      </c>
      <c r="H286" s="62" t="s">
        <v>330</v>
      </c>
      <c r="I286" s="62" t="s">
        <v>54</v>
      </c>
      <c r="K286" s="62" t="s">
        <v>330</v>
      </c>
      <c r="L286" s="62" t="s">
        <v>54</v>
      </c>
    </row>
    <row r="287" spans="2:15">
      <c r="B287" s="7">
        <v>210</v>
      </c>
      <c r="C287" s="9">
        <v>9.4000000000000021E-8</v>
      </c>
      <c r="E287" s="7">
        <v>473</v>
      </c>
      <c r="F287" s="9">
        <v>4.0399999999999999E-5</v>
      </c>
      <c r="H287" s="7">
        <v>10</v>
      </c>
      <c r="I287" s="9">
        <v>1.9999999999999999E-7</v>
      </c>
      <c r="K287" s="7">
        <v>80</v>
      </c>
      <c r="L287" s="9">
        <v>-6.9999999999999997E-7</v>
      </c>
    </row>
    <row r="288" spans="2:15">
      <c r="B288" s="7">
        <v>220</v>
      </c>
      <c r="C288" s="9">
        <v>1.4999999999999999E-7</v>
      </c>
      <c r="E288" s="7">
        <v>573</v>
      </c>
      <c r="F288" s="9">
        <v>4.46E-5</v>
      </c>
      <c r="H288" s="7">
        <v>20</v>
      </c>
      <c r="I288" s="9">
        <v>4.9999999999999998E-7</v>
      </c>
      <c r="K288" s="7">
        <v>100</v>
      </c>
      <c r="L288" s="9">
        <v>-5.3000000000000001E-7</v>
      </c>
    </row>
    <row r="289" spans="2:12">
      <c r="B289" s="7">
        <v>230</v>
      </c>
      <c r="C289" s="9">
        <v>1.8999999999999998E-7</v>
      </c>
      <c r="E289" s="7">
        <v>673</v>
      </c>
      <c r="F289" s="9">
        <v>4.9200000000000003E-5</v>
      </c>
      <c r="H289" s="7">
        <v>25</v>
      </c>
      <c r="I289" s="9">
        <v>6.9999999999999997E-7</v>
      </c>
      <c r="K289" s="7">
        <v>120</v>
      </c>
      <c r="L289" s="9">
        <v>-3.8000000000000001E-7</v>
      </c>
    </row>
    <row r="290" spans="2:12">
      <c r="B290" s="7">
        <v>240</v>
      </c>
      <c r="C290" s="9">
        <v>2.2999999999999997E-7</v>
      </c>
      <c r="E290" s="7">
        <v>773</v>
      </c>
      <c r="F290" s="9">
        <v>5.4299999999999992E-5</v>
      </c>
      <c r="H290" s="7">
        <v>50</v>
      </c>
      <c r="I290" s="9">
        <v>2.2000000000000001E-6</v>
      </c>
      <c r="K290" s="7">
        <v>140</v>
      </c>
      <c r="L290" s="9">
        <v>-2.3999999999999998E-7</v>
      </c>
    </row>
    <row r="291" spans="2:12">
      <c r="B291" s="7">
        <v>250</v>
      </c>
      <c r="C291" s="9">
        <v>2.6999999999999996E-7</v>
      </c>
      <c r="E291" s="7">
        <v>873</v>
      </c>
      <c r="F291" s="9">
        <v>5.9999999999999995E-5</v>
      </c>
      <c r="H291" s="7">
        <v>75</v>
      </c>
      <c r="I291" s="9">
        <v>5.4999999999999999E-6</v>
      </c>
      <c r="K291" s="7">
        <v>160</v>
      </c>
      <c r="L291" s="9">
        <v>-9.9999999999999995E-8</v>
      </c>
    </row>
    <row r="292" spans="2:12">
      <c r="B292" s="7">
        <v>260</v>
      </c>
      <c r="C292" s="9">
        <v>3.1E-7</v>
      </c>
      <c r="E292" s="7">
        <v>973</v>
      </c>
      <c r="F292" s="9">
        <v>6.6400000000000001E-5</v>
      </c>
      <c r="H292" s="7">
        <v>100</v>
      </c>
      <c r="I292" s="9">
        <v>1.0000000000000001E-5</v>
      </c>
      <c r="K292" s="7">
        <v>180</v>
      </c>
      <c r="L292" s="9">
        <v>2E-8</v>
      </c>
    </row>
    <row r="293" spans="2:12">
      <c r="B293" s="7">
        <v>270</v>
      </c>
      <c r="C293" s="9">
        <v>3.4999999999999998E-7</v>
      </c>
      <c r="E293" s="7">
        <v>1073</v>
      </c>
      <c r="F293" s="9">
        <v>7.3499999999999998E-5</v>
      </c>
      <c r="H293" s="7">
        <v>150</v>
      </c>
      <c r="I293" s="9">
        <v>1.963E-5</v>
      </c>
      <c r="K293" s="7">
        <v>200</v>
      </c>
      <c r="L293" s="9">
        <v>1.3E-7</v>
      </c>
    </row>
    <row r="294" spans="2:12">
      <c r="B294" s="7">
        <v>280</v>
      </c>
      <c r="C294" s="9">
        <v>3.6979999999999994E-7</v>
      </c>
      <c r="H294" s="7">
        <v>200</v>
      </c>
      <c r="I294" s="9">
        <v>2.6100000000000001E-5</v>
      </c>
      <c r="K294" s="7">
        <v>250</v>
      </c>
      <c r="L294" s="9">
        <v>3.4999999999999998E-7</v>
      </c>
    </row>
    <row r="295" spans="2:12">
      <c r="B295" s="7">
        <v>290</v>
      </c>
      <c r="C295" s="9">
        <v>3.9019999999999999E-7</v>
      </c>
      <c r="H295" s="7">
        <v>250</v>
      </c>
      <c r="I295" s="9">
        <v>3.1000000000000001E-5</v>
      </c>
      <c r="K295" s="7">
        <v>293</v>
      </c>
      <c r="L295" s="9">
        <v>4.8999999999999997E-7</v>
      </c>
    </row>
    <row r="296" spans="2:12">
      <c r="B296" s="7">
        <v>293</v>
      </c>
      <c r="C296" s="9">
        <v>4.0999999999999994E-7</v>
      </c>
      <c r="H296" s="7">
        <v>293</v>
      </c>
      <c r="I296" s="9">
        <v>3.3899999999999997E-5</v>
      </c>
      <c r="K296" s="7">
        <v>350</v>
      </c>
      <c r="L296" s="9">
        <v>5.7000000000000005E-7</v>
      </c>
    </row>
    <row r="297" spans="2:12">
      <c r="H297" s="7">
        <v>300</v>
      </c>
      <c r="I297" s="9">
        <v>3.4400000000000003E-5</v>
      </c>
      <c r="K297" s="7">
        <v>400</v>
      </c>
      <c r="L297" s="9">
        <v>6.0999999999999998E-7</v>
      </c>
    </row>
    <row r="298" spans="2:12">
      <c r="H298" s="7">
        <v>400</v>
      </c>
      <c r="I298" s="9">
        <v>3.8600000000000003E-5</v>
      </c>
    </row>
  </sheetData>
  <mergeCells count="40">
    <mergeCell ref="K3:L3"/>
    <mergeCell ref="H3:I3"/>
    <mergeCell ref="N3:O3"/>
    <mergeCell ref="N236:O236"/>
    <mergeCell ref="B235:C235"/>
    <mergeCell ref="E235:F235"/>
    <mergeCell ref="H235:I235"/>
    <mergeCell ref="K235:L235"/>
    <mergeCell ref="C207:F207"/>
    <mergeCell ref="E3:F3"/>
    <mergeCell ref="B3:C3"/>
    <mergeCell ref="C131:E131"/>
    <mergeCell ref="B178:E178"/>
    <mergeCell ref="N16:O16"/>
    <mergeCell ref="E254:F254"/>
    <mergeCell ref="R236:S236"/>
    <mergeCell ref="Q3:R3"/>
    <mergeCell ref="H207:I207"/>
    <mergeCell ref="K207:M207"/>
    <mergeCell ref="O207:P207"/>
    <mergeCell ref="B165:D165"/>
    <mergeCell ref="B14:C14"/>
    <mergeCell ref="E16:F16"/>
    <mergeCell ref="R207:S207"/>
    <mergeCell ref="H131:I131"/>
    <mergeCell ref="H49:I49"/>
    <mergeCell ref="C32:L32"/>
    <mergeCell ref="C49:F49"/>
    <mergeCell ref="K16:L16"/>
    <mergeCell ref="F166:G166"/>
    <mergeCell ref="B268:C268"/>
    <mergeCell ref="E276:F276"/>
    <mergeCell ref="B254:C254"/>
    <mergeCell ref="H285:I285"/>
    <mergeCell ref="K285:L285"/>
    <mergeCell ref="B97:K97"/>
    <mergeCell ref="H254:O254"/>
    <mergeCell ref="B192:E192"/>
    <mergeCell ref="H226:I226"/>
    <mergeCell ref="B206:F206"/>
  </mergeCells>
  <phoneticPr fontId="0" type="noConversion"/>
  <hyperlinks>
    <hyperlink ref="B3:C3" r:id="rId1" display="Silicon (Ref. 64)"/>
    <hyperlink ref="E3:F3" r:id="rId2" display="AlN (Ref. 64)"/>
    <hyperlink ref="H3:I3" r:id="rId3" display="Invar36 (Ref. 64)"/>
    <hyperlink ref="K3:L3" r:id="rId4" display="Molybdenum (Ref. 64)"/>
    <hyperlink ref="B97:K97" r:id="rId5" display="alpha=10^(a+blogT+c(logT)^2+d(logT)^3+e(logT)^4+f(logT)^5+g(logT)^6+h(logT)^7+i(logT)^8)/1e6 (cm/cm/K) (Reference 72)"/>
    <hyperlink ref="C82" r:id="rId6" display="http://snap.lbl.gov/bscw/bscw.cgi/d135735/POCO-Cryo CTE.xls"/>
    <hyperlink ref="K16:L16" r:id="rId7" display="SiC (Rohm-Haas) (Ref 78)"/>
    <hyperlink ref="B165:D165" r:id="rId8" display="alpha = a + bt + ct^2 + dt^3 (ref 82)"/>
    <hyperlink ref="F166:G166" r:id="rId9" display="Epo-Tek 301-2 (Ref 83)"/>
    <hyperlink ref="B178:E178" r:id="rId10" display="alpha = a + bT + cT^2 + dT^3 + eT^5 (ref 85)"/>
    <hyperlink ref="N16:O16" r:id="rId11" display="SiC (Rohm-Haas) (Ref 78)"/>
    <hyperlink ref="B192:E192" r:id="rId12" display="alpha = a + bT + cT^2 + dT^3 (ref 89)"/>
    <hyperlink ref="H131:I131" r:id="rId13" display="CoorsTek UltraSiC (ref 93)"/>
    <hyperlink ref="B14:C14" r:id="rId14" display="Silicon (Ref. 64)"/>
    <hyperlink ref="Q3:R3" r:id="rId15" display="Silicon (Ref. 96)"/>
    <hyperlink ref="H207:I207" r:id="rId16" display="Be (Ref. 96)"/>
    <hyperlink ref="K207:L207" r:id="rId17" display="AlN (Ref. 64)"/>
    <hyperlink ref="O207:P207" r:id="rId18" display="W (Ref. 96)"/>
    <hyperlink ref="K207:M207" r:id="rId19" display="AlN (Ref. 96)"/>
    <hyperlink ref="H226:I226" r:id="rId20" display="Be (Ref. 96)"/>
    <hyperlink ref="B235:C235" r:id="rId21" display="Borosilicate (ref 97)"/>
    <hyperlink ref="E235:F235" r:id="rId22" display="Fused Silica (ref. 97)"/>
    <hyperlink ref="H235:I235" r:id="rId23" display="Green Zerodur (Ref. 97)"/>
    <hyperlink ref="K235:L235" r:id="rId24" display="Zerodur (Ref. 97)"/>
    <hyperlink ref="N236:O236" r:id="rId25" display="ULE (Ref. 97)"/>
    <hyperlink ref="R207:S207" r:id="rId26" display="Diamond (Ref 96)"/>
    <hyperlink ref="N3:O3" r:id="rId27" display="SiC (Cesic) (Ref 99)"/>
    <hyperlink ref="R236:S236" r:id="rId28" display="AlBeMet162 (Ref. 104)"/>
  </hyperlinks>
  <pageMargins left="0.75" right="0.75" top="1" bottom="1" header="0.5" footer="0.5"/>
  <pageSetup paperSize="17" scale="94" fitToHeight="20" orientation="landscape" r:id="rId2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K124"/>
  <sheetViews>
    <sheetView topLeftCell="A81" workbookViewId="0">
      <selection activeCell="F130" sqref="F130"/>
    </sheetView>
  </sheetViews>
  <sheetFormatPr defaultRowHeight="12.75"/>
  <cols>
    <col min="1" max="1" width="1.5703125" customWidth="1"/>
    <col min="3" max="3" width="14.85546875" bestFit="1" customWidth="1"/>
    <col min="4" max="4" width="13.140625" bestFit="1" customWidth="1"/>
    <col min="5" max="5" width="11.28515625" bestFit="1" customWidth="1"/>
    <col min="6" max="6" width="11.5703125" bestFit="1" customWidth="1"/>
    <col min="7" max="8" width="11.28515625" bestFit="1" customWidth="1"/>
    <col min="9" max="9" width="15.140625" bestFit="1" customWidth="1"/>
    <col min="10" max="10" width="11.5703125" bestFit="1" customWidth="1"/>
    <col min="11" max="11" width="11.28515625" bestFit="1" customWidth="1"/>
    <col min="12" max="12" width="12.7109375" bestFit="1" customWidth="1"/>
    <col min="13" max="15" width="11.28515625" bestFit="1" customWidth="1"/>
    <col min="16" max="16" width="16.28515625" bestFit="1" customWidth="1"/>
    <col min="17" max="17" width="14.28515625" bestFit="1" customWidth="1"/>
    <col min="18" max="19" width="11.28515625" bestFit="1" customWidth="1"/>
  </cols>
  <sheetData>
    <row r="1" spans="2:17">
      <c r="B1" s="74" t="s">
        <v>328</v>
      </c>
    </row>
    <row r="2" spans="2:17">
      <c r="B2" s="74" t="s">
        <v>482</v>
      </c>
    </row>
    <row r="4" spans="2:17">
      <c r="B4" s="62" t="s">
        <v>281</v>
      </c>
      <c r="C4" s="154" t="s">
        <v>478</v>
      </c>
      <c r="E4" s="62" t="s">
        <v>281</v>
      </c>
      <c r="F4" s="154" t="s">
        <v>479</v>
      </c>
      <c r="H4" s="62" t="s">
        <v>281</v>
      </c>
      <c r="I4" s="154" t="s">
        <v>625</v>
      </c>
      <c r="K4" s="62" t="s">
        <v>281</v>
      </c>
      <c r="L4" s="154" t="s">
        <v>672</v>
      </c>
      <c r="O4" s="272" t="s">
        <v>683</v>
      </c>
      <c r="P4" s="289"/>
      <c r="Q4" s="283"/>
    </row>
    <row r="5" spans="2:17">
      <c r="B5" s="7">
        <v>25</v>
      </c>
      <c r="C5" s="9">
        <v>-2.2000000000000001E-4</v>
      </c>
      <c r="E5" s="7">
        <v>75</v>
      </c>
      <c r="F5" s="9">
        <v>-2.9999999999999997E-4</v>
      </c>
      <c r="H5" s="172">
        <v>20</v>
      </c>
      <c r="I5" s="7">
        <v>-9.2000000000000003E-4</v>
      </c>
      <c r="K5" s="7">
        <v>20</v>
      </c>
      <c r="L5" s="9">
        <v>-2.2185510418588404E-4</v>
      </c>
      <c r="N5" s="223" t="s">
        <v>280</v>
      </c>
      <c r="O5" s="62" t="s">
        <v>678</v>
      </c>
      <c r="P5" s="62" t="s">
        <v>679</v>
      </c>
      <c r="Q5" s="62" t="s">
        <v>680</v>
      </c>
    </row>
    <row r="6" spans="2:17">
      <c r="B6" s="7">
        <v>50</v>
      </c>
      <c r="C6" s="9">
        <v>-2.2000000000000001E-4</v>
      </c>
      <c r="E6" s="7">
        <v>100</v>
      </c>
      <c r="F6" s="9">
        <v>-3.8999999999999999E-4</v>
      </c>
      <c r="H6" s="172">
        <v>25</v>
      </c>
      <c r="I6" s="7">
        <v>-9.2000000000000003E-4</v>
      </c>
      <c r="K6" s="7">
        <v>40</v>
      </c>
      <c r="L6" s="9">
        <v>-2.2185510418588404E-4</v>
      </c>
      <c r="N6" s="7">
        <v>100</v>
      </c>
      <c r="O6" s="9">
        <v>-1.0699999999999999E-2</v>
      </c>
      <c r="P6" s="9">
        <v>-9.6600000000000002E-3</v>
      </c>
      <c r="Q6" s="9">
        <v>-1.3299999999999999E-2</v>
      </c>
    </row>
    <row r="7" spans="2:17">
      <c r="B7" s="7">
        <v>75</v>
      </c>
      <c r="C7" s="9">
        <v>-2.3000000000000001E-4</v>
      </c>
      <c r="E7" s="7">
        <v>150</v>
      </c>
      <c r="F7" s="9">
        <v>-2.5999999999999998E-4</v>
      </c>
      <c r="H7" s="172">
        <v>50</v>
      </c>
      <c r="I7" s="7">
        <v>-9.1E-4</v>
      </c>
      <c r="K7" s="7">
        <v>60</v>
      </c>
      <c r="L7" s="9">
        <v>-2.2185510418588404E-4</v>
      </c>
      <c r="N7" s="7">
        <v>150</v>
      </c>
      <c r="O7" s="9">
        <v>-8.7100000000000007E-3</v>
      </c>
      <c r="P7" s="9">
        <v>-7.7000000000000002E-3</v>
      </c>
      <c r="Q7" s="9">
        <v>-1.1299999999999999E-2</v>
      </c>
    </row>
    <row r="8" spans="2:17">
      <c r="B8" s="7">
        <v>100</v>
      </c>
      <c r="C8" s="9">
        <v>-2.4000000000000001E-4</v>
      </c>
      <c r="E8" s="7">
        <v>200</v>
      </c>
      <c r="F8" s="9">
        <v>-1.9000000000000001E-4</v>
      </c>
      <c r="H8" s="172">
        <v>100</v>
      </c>
      <c r="I8" s="7">
        <v>-8.3000000000000001E-4</v>
      </c>
      <c r="K8" s="7">
        <v>80</v>
      </c>
      <c r="L8" s="9">
        <v>-2.2185510418588404E-4</v>
      </c>
      <c r="N8" s="7">
        <v>200</v>
      </c>
      <c r="O8" s="9">
        <v>-6.1999999999999998E-3</v>
      </c>
      <c r="P8" s="9">
        <v>-5.45E-3</v>
      </c>
      <c r="Q8" s="9">
        <v>-8.6899999999999998E-3</v>
      </c>
    </row>
    <row r="9" spans="2:17">
      <c r="B9" s="7">
        <v>150</v>
      </c>
      <c r="C9" s="9">
        <v>-2.4000000000000001E-4</v>
      </c>
      <c r="E9" s="7">
        <v>250</v>
      </c>
      <c r="F9" s="9">
        <v>-1E-4</v>
      </c>
      <c r="H9" s="172">
        <v>200</v>
      </c>
      <c r="I9" s="7">
        <v>-4.4999999999999999E-4</v>
      </c>
      <c r="K9" s="7">
        <v>100</v>
      </c>
      <c r="L9" s="9">
        <v>-2.2161946584395217E-4</v>
      </c>
      <c r="N9" s="7">
        <v>250</v>
      </c>
      <c r="O9" s="9">
        <v>-3.2699999999999999E-3</v>
      </c>
      <c r="P9" s="9">
        <v>-2.8300000000000001E-3</v>
      </c>
      <c r="Q9" s="9">
        <v>-4.6899999999999997E-3</v>
      </c>
    </row>
    <row r="10" spans="2:17">
      <c r="B10" s="7">
        <v>200</v>
      </c>
      <c r="C10" s="9">
        <v>-1.9000000000000001E-4</v>
      </c>
      <c r="E10" s="7">
        <v>293</v>
      </c>
      <c r="F10" s="9">
        <v>0</v>
      </c>
      <c r="H10" s="172">
        <v>293</v>
      </c>
      <c r="I10" s="7">
        <v>0</v>
      </c>
      <c r="K10" s="7">
        <v>120</v>
      </c>
      <c r="L10" s="9">
        <v>-2.1967351238881669E-4</v>
      </c>
      <c r="N10" s="7">
        <v>293</v>
      </c>
      <c r="O10" s="9">
        <v>0</v>
      </c>
      <c r="P10" s="9">
        <v>0</v>
      </c>
      <c r="Q10" s="9">
        <v>0</v>
      </c>
    </row>
    <row r="11" spans="2:17">
      <c r="B11" s="7">
        <v>250</v>
      </c>
      <c r="C11" s="9">
        <v>-1E-4</v>
      </c>
      <c r="H11" s="172">
        <v>400</v>
      </c>
      <c r="I11" s="7">
        <v>5.1999999999999995E-4</v>
      </c>
      <c r="K11" s="7">
        <v>140</v>
      </c>
      <c r="L11" s="9">
        <v>-2.150772724074134E-4</v>
      </c>
    </row>
    <row r="12" spans="2:17">
      <c r="B12" s="7">
        <v>293</v>
      </c>
      <c r="C12" s="7">
        <v>0</v>
      </c>
      <c r="H12" s="172">
        <v>500</v>
      </c>
      <c r="I12" s="7">
        <v>1.0299999999999999E-3</v>
      </c>
      <c r="K12" s="7">
        <v>160</v>
      </c>
      <c r="L12" s="9">
        <v>-2.0699172715620624E-4</v>
      </c>
      <c r="N12" s="62" t="s">
        <v>281</v>
      </c>
      <c r="O12" s="154" t="s">
        <v>689</v>
      </c>
    </row>
    <row r="13" spans="2:17">
      <c r="H13" s="172">
        <v>600</v>
      </c>
      <c r="I13" s="7">
        <v>1.5499999999999999E-3</v>
      </c>
      <c r="K13" s="7">
        <v>180</v>
      </c>
      <c r="L13" s="9">
        <v>-1.9350925698875419E-4</v>
      </c>
      <c r="N13" s="224">
        <v>273</v>
      </c>
      <c r="O13" s="225">
        <f>-0.014/100</f>
        <v>-1.4000000000000001E-4</v>
      </c>
    </row>
    <row r="14" spans="2:17">
      <c r="B14" s="62" t="s">
        <v>281</v>
      </c>
      <c r="C14" s="154" t="s">
        <v>480</v>
      </c>
      <c r="E14" s="62" t="s">
        <v>281</v>
      </c>
      <c r="F14" s="154" t="s">
        <v>481</v>
      </c>
      <c r="H14" s="172">
        <v>700</v>
      </c>
      <c r="I14" s="7">
        <v>2.0899999999999998E-3</v>
      </c>
      <c r="K14" s="7">
        <v>200</v>
      </c>
      <c r="L14" s="9">
        <v>-1.7449841877509444E-4</v>
      </c>
      <c r="N14" s="224">
        <v>373</v>
      </c>
      <c r="O14" s="225">
        <f>0.058/100</f>
        <v>5.8E-4</v>
      </c>
    </row>
    <row r="15" spans="2:17">
      <c r="B15" s="7">
        <v>100</v>
      </c>
      <c r="C15" s="9">
        <v>-3.5E-4</v>
      </c>
      <c r="E15" s="7">
        <v>25</v>
      </c>
      <c r="F15" s="9">
        <v>-9.2000000000000003E-4</v>
      </c>
      <c r="H15" s="172">
        <v>800</v>
      </c>
      <c r="I15" s="7">
        <v>2.65E-3</v>
      </c>
      <c r="K15" s="7">
        <v>220</v>
      </c>
      <c r="L15" s="9">
        <v>-1.4847331625996338E-4</v>
      </c>
      <c r="N15" s="224">
        <v>423</v>
      </c>
      <c r="O15" s="225">
        <f>0.097/100</f>
        <v>9.7000000000000005E-4</v>
      </c>
    </row>
    <row r="16" spans="2:17">
      <c r="B16" s="7">
        <v>125</v>
      </c>
      <c r="C16" s="9">
        <v>-2.9999999999999997E-4</v>
      </c>
      <c r="E16" s="7">
        <v>50</v>
      </c>
      <c r="F16" s="9">
        <v>-9.1E-4</v>
      </c>
      <c r="H16" s="172">
        <v>900</v>
      </c>
      <c r="I16" s="7">
        <v>3.2400000000000003E-3</v>
      </c>
      <c r="K16" s="7">
        <v>240</v>
      </c>
      <c r="L16" s="9">
        <v>-1.1597379825416956E-4</v>
      </c>
      <c r="N16" s="224">
        <v>473</v>
      </c>
      <c r="O16" s="225">
        <f>0.134/100</f>
        <v>1.34E-3</v>
      </c>
    </row>
    <row r="17" spans="2:19">
      <c r="B17" s="7">
        <v>150</v>
      </c>
      <c r="C17" s="9">
        <v>-2.5000000000000001E-4</v>
      </c>
      <c r="E17" s="7">
        <v>100</v>
      </c>
      <c r="F17" s="9">
        <v>-8.3000000000000001E-4</v>
      </c>
      <c r="H17" s="172">
        <v>1000</v>
      </c>
      <c r="I17" s="7">
        <v>3.8500000000000001E-3</v>
      </c>
      <c r="K17" s="7">
        <v>260</v>
      </c>
      <c r="L17" s="9">
        <v>-7.6238854238300875E-5</v>
      </c>
      <c r="N17" s="224">
        <v>523</v>
      </c>
      <c r="O17" s="225">
        <f>0.175/100</f>
        <v>1.7499999999999998E-3</v>
      </c>
    </row>
    <row r="18" spans="2:19">
      <c r="B18" s="7">
        <v>175</v>
      </c>
      <c r="C18" s="9">
        <v>-1.9000000000000001E-4</v>
      </c>
      <c r="E18" s="7">
        <v>200</v>
      </c>
      <c r="F18" s="9">
        <v>-4.4999999999999999E-4</v>
      </c>
      <c r="H18" s="172">
        <v>1200</v>
      </c>
      <c r="I18" s="7">
        <v>5.1400000000000005E-3</v>
      </c>
      <c r="K18" s="7">
        <v>280</v>
      </c>
      <c r="L18" s="9">
        <v>-3.0952622739129812E-5</v>
      </c>
      <c r="N18" s="224">
        <v>573</v>
      </c>
      <c r="O18" s="225">
        <f>0.218/100</f>
        <v>2.1800000000000001E-3</v>
      </c>
    </row>
    <row r="19" spans="2:19">
      <c r="B19" s="7">
        <v>200</v>
      </c>
      <c r="C19" s="9">
        <v>-1.4999999999999999E-4</v>
      </c>
      <c r="E19" s="7">
        <v>293</v>
      </c>
      <c r="F19" s="139">
        <v>0</v>
      </c>
      <c r="H19" s="172">
        <v>1400</v>
      </c>
      <c r="I19" s="7">
        <v>6.5300000000000002E-3</v>
      </c>
      <c r="K19" s="7">
        <v>293</v>
      </c>
      <c r="L19" s="9">
        <v>0</v>
      </c>
      <c r="N19" s="224">
        <v>623</v>
      </c>
      <c r="O19" s="225">
        <f>0.262/100</f>
        <v>2.6199999999999999E-3</v>
      </c>
    </row>
    <row r="20" spans="2:19">
      <c r="B20" s="7">
        <v>225</v>
      </c>
      <c r="C20" s="9">
        <v>-1.1E-4</v>
      </c>
      <c r="H20" s="172">
        <v>1600</v>
      </c>
      <c r="I20" s="7">
        <v>8.0200000000000011E-3</v>
      </c>
      <c r="N20" s="224">
        <v>673</v>
      </c>
      <c r="O20" s="225">
        <f>0.309/100</f>
        <v>3.0899999999999999E-3</v>
      </c>
    </row>
    <row r="21" spans="2:19">
      <c r="B21" s="7">
        <v>250</v>
      </c>
      <c r="C21" s="9">
        <v>-6.9999999999999994E-5</v>
      </c>
      <c r="H21" s="172">
        <v>1800</v>
      </c>
      <c r="I21" s="7">
        <v>9.6399999999999993E-3</v>
      </c>
      <c r="N21" s="224">
        <v>723</v>
      </c>
      <c r="O21" s="225">
        <f>0.357/100</f>
        <v>3.5699999999999998E-3</v>
      </c>
    </row>
    <row r="22" spans="2:19">
      <c r="B22" s="7">
        <v>275</v>
      </c>
      <c r="C22" s="9">
        <v>-3.0000000000000001E-5</v>
      </c>
      <c r="H22" s="172">
        <v>2000</v>
      </c>
      <c r="I22" s="7">
        <v>1.145E-2</v>
      </c>
      <c r="N22" s="224">
        <v>773</v>
      </c>
      <c r="O22" s="225">
        <f>0.407/100</f>
        <v>4.0699999999999998E-3</v>
      </c>
    </row>
    <row r="23" spans="2:19">
      <c r="B23" s="7">
        <v>293</v>
      </c>
      <c r="C23" s="9">
        <v>0</v>
      </c>
      <c r="H23" s="172">
        <v>2200</v>
      </c>
      <c r="I23" s="7">
        <v>1.3469999999999999E-2</v>
      </c>
      <c r="N23" s="224">
        <v>823</v>
      </c>
      <c r="O23" s="225">
        <f>0.459/100</f>
        <v>4.5900000000000003E-3</v>
      </c>
    </row>
    <row r="24" spans="2:19">
      <c r="H24" s="172">
        <v>2400</v>
      </c>
      <c r="I24" s="7">
        <v>1.5769999999999999E-2</v>
      </c>
      <c r="N24" s="224">
        <v>873</v>
      </c>
      <c r="O24" s="225">
        <f>0.513/100</f>
        <v>5.13E-3</v>
      </c>
    </row>
    <row r="25" spans="2:19">
      <c r="H25" s="172">
        <v>2600</v>
      </c>
      <c r="I25" s="7">
        <v>1.8420000000000002E-2</v>
      </c>
    </row>
    <row r="26" spans="2:19">
      <c r="H26" s="172">
        <v>2800</v>
      </c>
      <c r="I26" s="7">
        <v>2.1499999999999998E-2</v>
      </c>
    </row>
    <row r="28" spans="2:19">
      <c r="C28" s="270" t="s">
        <v>484</v>
      </c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  <c r="S28" s="153" t="s">
        <v>477</v>
      </c>
    </row>
    <row r="29" spans="2:19" ht="38.25">
      <c r="C29" s="93" t="s">
        <v>312</v>
      </c>
      <c r="D29" s="93" t="s">
        <v>486</v>
      </c>
      <c r="E29" s="93" t="s">
        <v>487</v>
      </c>
      <c r="F29" s="144" t="s">
        <v>351</v>
      </c>
      <c r="G29" s="144" t="s">
        <v>355</v>
      </c>
      <c r="H29" s="144" t="s">
        <v>356</v>
      </c>
      <c r="I29" s="144" t="s">
        <v>314</v>
      </c>
      <c r="J29" s="91" t="s">
        <v>358</v>
      </c>
      <c r="K29" s="62" t="s">
        <v>315</v>
      </c>
      <c r="L29" s="144" t="s">
        <v>317</v>
      </c>
      <c r="M29" s="91" t="s">
        <v>360</v>
      </c>
      <c r="N29" s="91" t="s">
        <v>362</v>
      </c>
      <c r="O29" s="91" t="s">
        <v>363</v>
      </c>
      <c r="P29" s="91" t="s">
        <v>364</v>
      </c>
      <c r="Q29" s="92" t="s">
        <v>470</v>
      </c>
      <c r="R29" s="62" t="s">
        <v>26</v>
      </c>
      <c r="S29" s="145" t="s">
        <v>316</v>
      </c>
    </row>
    <row r="30" spans="2:19">
      <c r="B30" s="140" t="s">
        <v>339</v>
      </c>
      <c r="C30" s="133">
        <v>-412.77</v>
      </c>
      <c r="D30" s="133">
        <v>-412.77</v>
      </c>
      <c r="E30" s="133">
        <v>-412.77</v>
      </c>
      <c r="F30" s="133">
        <v>-295.54000000000002</v>
      </c>
      <c r="G30" s="133">
        <v>-295.54000000000002</v>
      </c>
      <c r="H30" s="133">
        <v>-295.54000000000002</v>
      </c>
      <c r="I30" s="133">
        <v>-236.8</v>
      </c>
      <c r="J30" s="133">
        <v>-311.5</v>
      </c>
      <c r="K30" s="133">
        <v>-171.1</v>
      </c>
      <c r="L30" s="133">
        <v>-2125</v>
      </c>
      <c r="M30" s="133">
        <v>-1389</v>
      </c>
      <c r="N30" s="133">
        <v>-719.8</v>
      </c>
      <c r="O30" s="133">
        <v>-246.9</v>
      </c>
      <c r="P30" s="133">
        <v>-52.65</v>
      </c>
      <c r="Q30" s="133">
        <v>-210.4</v>
      </c>
      <c r="R30" s="133">
        <v>-85.936800000000005</v>
      </c>
      <c r="S30" s="9">
        <v>-186.2</v>
      </c>
    </row>
    <row r="31" spans="2:19">
      <c r="B31" s="140" t="s">
        <v>340</v>
      </c>
      <c r="C31" s="133">
        <v>-0.30388999999999999</v>
      </c>
      <c r="D31" s="133">
        <v>-0.30388999999999999</v>
      </c>
      <c r="E31" s="133">
        <v>-0.30388999999999999</v>
      </c>
      <c r="F31" s="133">
        <v>-0.39811000000000002</v>
      </c>
      <c r="G31" s="133">
        <v>-0.39811000000000002</v>
      </c>
      <c r="H31" s="133">
        <v>-0.39811000000000002</v>
      </c>
      <c r="I31" s="133">
        <v>-0.21199999999999999</v>
      </c>
      <c r="J31" s="133">
        <v>-0.44497999999999999</v>
      </c>
      <c r="K31" s="133">
        <v>-0.214</v>
      </c>
      <c r="L31" s="133">
        <v>-0.82010000000000005</v>
      </c>
      <c r="M31" s="133">
        <v>-0.15609999999999999</v>
      </c>
      <c r="N31" s="133">
        <v>0.44550000000000001</v>
      </c>
      <c r="O31" s="133">
        <v>0.2064</v>
      </c>
      <c r="P31" s="133">
        <v>0.1009</v>
      </c>
      <c r="Q31" s="133">
        <v>-5.6989999999999999E-2</v>
      </c>
      <c r="R31" s="133">
        <v>-0.28470099999999998</v>
      </c>
      <c r="S31" s="9">
        <v>-0.25679999999999997</v>
      </c>
    </row>
    <row r="32" spans="2:19">
      <c r="B32" s="140" t="s">
        <v>349</v>
      </c>
      <c r="C32" s="133">
        <v>8.7696000000000007E-3</v>
      </c>
      <c r="D32" s="133">
        <v>8.7696000000000007E-3</v>
      </c>
      <c r="E32" s="133">
        <v>8.7696000000000007E-3</v>
      </c>
      <c r="F32" s="133">
        <v>9.2683000000000001E-3</v>
      </c>
      <c r="G32" s="133">
        <v>9.2683000000000001E-3</v>
      </c>
      <c r="H32" s="133">
        <v>9.2683000000000001E-3</v>
      </c>
      <c r="I32" s="133">
        <v>5.4970000000000001E-3</v>
      </c>
      <c r="J32" s="133">
        <v>1.0133E-2</v>
      </c>
      <c r="K32" s="133">
        <v>4.8069999999999996E-3</v>
      </c>
      <c r="L32" s="133">
        <v>6.1609999999999998E-2</v>
      </c>
      <c r="M32" s="133">
        <v>2.988E-2</v>
      </c>
      <c r="N32" s="133">
        <v>7.5050000000000004E-3</v>
      </c>
      <c r="O32" s="133">
        <v>3.0720000000000001E-3</v>
      </c>
      <c r="P32" s="133">
        <v>8.3949999999999997E-4</v>
      </c>
      <c r="Q32" s="133">
        <v>5.0720000000000001E-3</v>
      </c>
      <c r="R32" s="133">
        <v>4.0702500000000001E-3</v>
      </c>
      <c r="S32" s="9">
        <v>8.3339999999999994E-3</v>
      </c>
    </row>
    <row r="33" spans="2:19">
      <c r="B33" s="140" t="s">
        <v>341</v>
      </c>
      <c r="C33" s="133">
        <v>-9.9821000000000005E-6</v>
      </c>
      <c r="D33" s="133">
        <v>-9.9821000000000005E-6</v>
      </c>
      <c r="E33" s="133">
        <v>-9.9821000000000005E-6</v>
      </c>
      <c r="F33" s="133">
        <v>-2.0261000000000001E-5</v>
      </c>
      <c r="G33" s="133">
        <v>-2.0261000000000001E-5</v>
      </c>
      <c r="H33" s="133">
        <v>-2.0261000000000001E-5</v>
      </c>
      <c r="I33" s="133">
        <v>-6.8820000000000003E-6</v>
      </c>
      <c r="J33" s="133">
        <v>-2.4717999999999999E-5</v>
      </c>
      <c r="K33" s="133">
        <v>-7.1110000000000002E-6</v>
      </c>
      <c r="L33" s="133">
        <v>-3.1710000000000001E-4</v>
      </c>
      <c r="M33" s="133">
        <v>-7.9480000000000005E-5</v>
      </c>
      <c r="N33" s="133">
        <v>-2.2189999999999998E-6</v>
      </c>
      <c r="O33" s="133">
        <v>-3.2260000000000001E-6</v>
      </c>
      <c r="P33" s="133">
        <v>-1.973E-6</v>
      </c>
      <c r="Q33" s="133">
        <v>-1.381E-5</v>
      </c>
      <c r="R33" s="133">
        <v>-9.3804000000000009E-6</v>
      </c>
      <c r="S33" s="9">
        <v>-2.951E-5</v>
      </c>
    </row>
    <row r="34" spans="2:19">
      <c r="B34" s="140" t="s">
        <v>342</v>
      </c>
      <c r="C34" s="83">
        <v>0</v>
      </c>
      <c r="D34" s="83">
        <v>0</v>
      </c>
      <c r="E34" s="83">
        <v>0</v>
      </c>
      <c r="F34" s="133">
        <v>1.7126999999999998E-8</v>
      </c>
      <c r="G34" s="133">
        <v>1.7126999999999998E-8</v>
      </c>
      <c r="H34" s="133">
        <v>1.7126999999999998E-8</v>
      </c>
      <c r="I34" s="83">
        <v>0</v>
      </c>
      <c r="J34" s="133">
        <v>2.6277000000000001E-8</v>
      </c>
      <c r="K34" s="83">
        <v>0</v>
      </c>
      <c r="L34" s="133">
        <v>6.8500000000000001E-7</v>
      </c>
      <c r="M34" s="133">
        <v>1.1810000000000001E-7</v>
      </c>
      <c r="N34" s="83">
        <v>0</v>
      </c>
      <c r="O34" s="83">
        <v>0</v>
      </c>
      <c r="P34" s="133">
        <v>8.7939999999999996E-11</v>
      </c>
      <c r="Q34" s="133">
        <v>1.897E-8</v>
      </c>
      <c r="R34" s="133">
        <v>7.5903599999999994E-9</v>
      </c>
      <c r="S34" s="9">
        <v>3.9080000000000003E-8</v>
      </c>
    </row>
    <row r="35" spans="2:19">
      <c r="B35" s="141" t="s">
        <v>483</v>
      </c>
      <c r="C35" s="83">
        <v>18</v>
      </c>
      <c r="D35" s="83">
        <v>18</v>
      </c>
      <c r="E35" s="83">
        <v>18</v>
      </c>
      <c r="F35" s="83">
        <v>23</v>
      </c>
      <c r="G35" s="83">
        <v>23</v>
      </c>
      <c r="H35" s="83">
        <v>23</v>
      </c>
      <c r="I35" s="83">
        <v>20</v>
      </c>
      <c r="J35" s="83">
        <v>24</v>
      </c>
      <c r="K35" s="83">
        <v>24</v>
      </c>
      <c r="L35" s="83">
        <v>0</v>
      </c>
      <c r="M35" s="83">
        <v>0</v>
      </c>
      <c r="N35" s="83">
        <v>0</v>
      </c>
      <c r="O35" s="83">
        <v>0</v>
      </c>
      <c r="P35" s="83">
        <v>80</v>
      </c>
      <c r="Q35" s="83">
        <v>6</v>
      </c>
      <c r="R35" s="83">
        <v>0</v>
      </c>
      <c r="S35" s="83">
        <v>0</v>
      </c>
    </row>
    <row r="36" spans="2:19">
      <c r="B36" s="141" t="s">
        <v>343</v>
      </c>
      <c r="C36" s="83">
        <v>-415.45</v>
      </c>
      <c r="D36" s="83">
        <v>-415.45</v>
      </c>
      <c r="E36" s="83">
        <v>-415.45</v>
      </c>
      <c r="F36" s="83">
        <v>-300.04000000000002</v>
      </c>
      <c r="G36" s="83">
        <v>-300.04000000000002</v>
      </c>
      <c r="H36" s="83">
        <v>-300.04000000000002</v>
      </c>
      <c r="I36" s="83">
        <v>-238.87</v>
      </c>
      <c r="J36" s="83">
        <v>-316.68</v>
      </c>
      <c r="K36" s="83">
        <v>-173.61</v>
      </c>
      <c r="L36" s="83">
        <v>0</v>
      </c>
      <c r="M36" s="83">
        <v>0</v>
      </c>
      <c r="N36" s="83">
        <v>0</v>
      </c>
      <c r="O36" s="83">
        <v>0</v>
      </c>
      <c r="P36" s="83">
        <v>-40</v>
      </c>
      <c r="Q36" s="83">
        <v>-210.56</v>
      </c>
      <c r="R36" s="83">
        <v>0</v>
      </c>
      <c r="S36" s="83">
        <v>0</v>
      </c>
    </row>
    <row r="37" spans="2:19">
      <c r="B37" s="141" t="s">
        <v>347</v>
      </c>
      <c r="C37" s="142">
        <v>4</v>
      </c>
      <c r="D37" s="143">
        <v>4</v>
      </c>
      <c r="E37" s="143">
        <v>4</v>
      </c>
      <c r="F37" s="143">
        <v>4</v>
      </c>
      <c r="G37" s="143">
        <v>4</v>
      </c>
      <c r="H37" s="143">
        <v>4</v>
      </c>
      <c r="I37" s="143">
        <v>4</v>
      </c>
      <c r="J37" s="143">
        <v>4</v>
      </c>
      <c r="K37" s="143">
        <v>4</v>
      </c>
      <c r="L37" s="143">
        <v>4</v>
      </c>
      <c r="M37" s="143">
        <v>4</v>
      </c>
      <c r="N37" s="90">
        <v>10</v>
      </c>
      <c r="O37" s="90">
        <v>12</v>
      </c>
      <c r="P37" s="143">
        <v>4</v>
      </c>
      <c r="Q37" s="143">
        <v>4</v>
      </c>
      <c r="R37" s="143">
        <v>20</v>
      </c>
      <c r="S37" s="7">
        <v>4</v>
      </c>
    </row>
    <row r="38" spans="2:19">
      <c r="B38" s="141" t="s">
        <v>348</v>
      </c>
      <c r="C38" s="142">
        <v>300</v>
      </c>
      <c r="D38" s="143">
        <v>300</v>
      </c>
      <c r="E38" s="143">
        <v>300</v>
      </c>
      <c r="F38" s="143">
        <v>300</v>
      </c>
      <c r="G38" s="143">
        <v>300</v>
      </c>
      <c r="H38" s="143">
        <v>300</v>
      </c>
      <c r="I38" s="143">
        <v>300</v>
      </c>
      <c r="J38" s="143">
        <v>300</v>
      </c>
      <c r="K38" s="143">
        <v>300</v>
      </c>
      <c r="L38" s="143">
        <v>300</v>
      </c>
      <c r="M38" s="143">
        <v>300</v>
      </c>
      <c r="N38" s="90">
        <v>300</v>
      </c>
      <c r="O38" s="90">
        <v>300</v>
      </c>
      <c r="P38" s="143">
        <v>300</v>
      </c>
      <c r="Q38" s="143">
        <v>300</v>
      </c>
      <c r="R38" s="143">
        <v>300</v>
      </c>
      <c r="S38" s="7">
        <v>300</v>
      </c>
    </row>
    <row r="39" spans="2:19">
      <c r="B39" s="141" t="s">
        <v>357</v>
      </c>
      <c r="C39" s="143">
        <v>4</v>
      </c>
      <c r="D39" s="143">
        <v>4</v>
      </c>
      <c r="E39" s="143">
        <v>4</v>
      </c>
      <c r="F39" s="143">
        <v>5</v>
      </c>
      <c r="G39" s="143">
        <v>5</v>
      </c>
      <c r="H39" s="143">
        <v>5</v>
      </c>
      <c r="I39" s="143">
        <v>1.1000000000000001</v>
      </c>
      <c r="J39" s="143">
        <v>1.5</v>
      </c>
      <c r="K39" s="143">
        <v>1.5</v>
      </c>
      <c r="L39" s="143">
        <v>2</v>
      </c>
      <c r="M39" s="143">
        <v>1</v>
      </c>
      <c r="N39" s="90">
        <v>1.5</v>
      </c>
      <c r="O39" s="90">
        <v>2</v>
      </c>
      <c r="P39" s="143">
        <v>5</v>
      </c>
      <c r="Q39" s="143">
        <v>1.5</v>
      </c>
      <c r="R39" s="143">
        <v>4</v>
      </c>
      <c r="S39" s="7"/>
    </row>
    <row r="40" spans="2:19" ht="13.5" thickBot="1"/>
    <row r="41" spans="2:19" ht="32.25" thickBot="1">
      <c r="B41" s="118" t="s">
        <v>466</v>
      </c>
      <c r="C41" s="119">
        <v>293</v>
      </c>
    </row>
    <row r="42" spans="2:19" ht="13.5" thickBot="1"/>
    <row r="43" spans="2:19" ht="16.5" thickBot="1">
      <c r="B43" s="146" t="s">
        <v>485</v>
      </c>
      <c r="C43" s="147">
        <f t="shared" ref="C43:M43" si="0">IF(AND($C$41&gt;=C$37,$C$41&lt;=C$38),IF($C$41&lt;C$35,C$36/100000,(C$30+C$31*$C$41+C$32*$C$41^2+C$33*$C$41^3+C$34*$C$41^4)/100000),"Out of Range")</f>
        <v>-3.5697349699972845E-7</v>
      </c>
      <c r="D43" s="147">
        <f t="shared" si="0"/>
        <v>-3.5697349699972845E-7</v>
      </c>
      <c r="E43" s="147">
        <f t="shared" si="0"/>
        <v>-3.5697349699972845E-7</v>
      </c>
      <c r="F43" s="147">
        <f t="shared" si="0"/>
        <v>7.4646191726984055E-7</v>
      </c>
      <c r="G43" s="147">
        <f t="shared" si="0"/>
        <v>7.4646191726984055E-7</v>
      </c>
      <c r="H43" s="147">
        <f t="shared" si="0"/>
        <v>7.4646191726984055E-7</v>
      </c>
      <c r="I43" s="147">
        <f t="shared" si="0"/>
        <v>-1.1220267399997398E-6</v>
      </c>
      <c r="J43" s="147">
        <f t="shared" si="0"/>
        <v>-5.8963628122938874E-7</v>
      </c>
      <c r="K43" s="147">
        <f t="shared" si="0"/>
        <v>5.7769729999677109E-8</v>
      </c>
      <c r="L43" s="147">
        <f t="shared" si="0"/>
        <v>-3.9039560149994941E-5</v>
      </c>
      <c r="M43" s="147">
        <f t="shared" si="0"/>
        <v>1.6132132380996607E-5</v>
      </c>
      <c r="N43" s="147">
        <f t="shared" ref="N43:S43" si="1">IF(AND($C$41&gt;=N$37,$C$41&lt;=N$38),IF($C$41&lt;N$35,N$36/100000,(N$30+N$31*$C$41+N$32*$C$41^2+N$33*$C$41^3+N$34*$C$41^4)/100000),"Out of Range")</f>
        <v>-7.8794178299991563E-6</v>
      </c>
      <c r="O43" s="147">
        <f t="shared" si="1"/>
        <v>-3.8426920819999848E-5</v>
      </c>
      <c r="P43" s="147">
        <f t="shared" si="1"/>
        <v>3.695206439938148E-8</v>
      </c>
      <c r="Q43" s="147">
        <f t="shared" si="1"/>
        <v>7.6453752496999525E-6</v>
      </c>
      <c r="R43" s="147">
        <f>IF(AND($C$41&gt;=R$37,$C$41&lt;=R$38),IF($C$41&lt;R$35,R$36/100000,(R$30+R$31*$C$41+R$32*$C$41^2+R$33*$C$41^3+R$34*$C$41^4)/100000),"Out of Range")</f>
        <v>6.1735885078320502E-7</v>
      </c>
      <c r="S43" s="148">
        <f t="shared" si="1"/>
        <v>-2.4261776691992056E-6</v>
      </c>
    </row>
    <row r="45" spans="2:19">
      <c r="B45" s="286" t="s">
        <v>521</v>
      </c>
      <c r="C45" s="276"/>
      <c r="D45" s="276"/>
      <c r="E45" s="277"/>
    </row>
    <row r="46" spans="2:19">
      <c r="B46" s="181" t="s">
        <v>523</v>
      </c>
      <c r="C46" s="184" t="s">
        <v>522</v>
      </c>
    </row>
    <row r="47" spans="2:19">
      <c r="B47" s="181" t="s">
        <v>339</v>
      </c>
      <c r="C47" s="34">
        <v>-2.921684798344E-2</v>
      </c>
    </row>
    <row r="48" spans="2:19">
      <c r="B48" s="181" t="s">
        <v>340</v>
      </c>
      <c r="C48" s="34">
        <v>3.5787466191999998E-4</v>
      </c>
    </row>
    <row r="49" spans="2:22">
      <c r="B49" s="181" t="s">
        <v>349</v>
      </c>
      <c r="C49" s="34">
        <v>-2.8797903699999999E-6</v>
      </c>
    </row>
    <row r="50" spans="2:22">
      <c r="B50" s="181" t="s">
        <v>341</v>
      </c>
      <c r="C50" s="34">
        <v>1.0914860000000001E-8</v>
      </c>
    </row>
    <row r="51" spans="2:22">
      <c r="B51" s="181" t="s">
        <v>342</v>
      </c>
      <c r="C51" s="34">
        <v>-1.397E-11</v>
      </c>
    </row>
    <row r="52" spans="2:22">
      <c r="B52" s="181" t="s">
        <v>347</v>
      </c>
      <c r="C52" s="34">
        <v>80</v>
      </c>
    </row>
    <row r="53" spans="2:22">
      <c r="B53" s="182" t="s">
        <v>348</v>
      </c>
      <c r="C53" s="183">
        <v>300</v>
      </c>
    </row>
    <row r="54" spans="2:22" ht="13.5" thickBot="1"/>
    <row r="55" spans="2:22" ht="32.25" thickBot="1">
      <c r="B55" s="118" t="s">
        <v>466</v>
      </c>
      <c r="C55" s="119">
        <v>80</v>
      </c>
    </row>
    <row r="56" spans="2:22" ht="16.5" thickBot="1">
      <c r="B56" s="176"/>
      <c r="C56" s="175"/>
    </row>
    <row r="57" spans="2:22" ht="16.5" thickBot="1">
      <c r="B57" s="118" t="s">
        <v>485</v>
      </c>
      <c r="C57" s="180">
        <f>IF(AND($C$55&gt;=C$52,$C$55&lt;=C$53),C$47+C$48*$C$55+C$49*$C$55^2+C$50*$C$55^3+C$51*$C$55^4,"Out of Range")</f>
        <v>-1.4001336277840004E-2</v>
      </c>
    </row>
    <row r="59" spans="2:22">
      <c r="V59" s="284"/>
    </row>
    <row r="60" spans="2:22">
      <c r="C60" s="285" t="s">
        <v>511</v>
      </c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V60" s="284"/>
    </row>
    <row r="61" spans="2:22" ht="38.25">
      <c r="B61" s="164" t="s">
        <v>330</v>
      </c>
      <c r="C61" s="165" t="s">
        <v>312</v>
      </c>
      <c r="D61" s="165" t="s">
        <v>486</v>
      </c>
      <c r="E61" s="165" t="s">
        <v>487</v>
      </c>
      <c r="F61" s="166" t="s">
        <v>351</v>
      </c>
      <c r="G61" s="166" t="s">
        <v>355</v>
      </c>
      <c r="H61" s="166" t="s">
        <v>356</v>
      </c>
      <c r="I61" s="166" t="s">
        <v>314</v>
      </c>
      <c r="J61" s="167" t="s">
        <v>358</v>
      </c>
      <c r="K61" s="164" t="s">
        <v>315</v>
      </c>
      <c r="L61" s="166" t="s">
        <v>317</v>
      </c>
      <c r="M61" s="167" t="s">
        <v>360</v>
      </c>
      <c r="N61" s="167" t="s">
        <v>362</v>
      </c>
      <c r="O61" s="167" t="s">
        <v>363</v>
      </c>
      <c r="P61" s="167" t="s">
        <v>364</v>
      </c>
      <c r="Q61" s="168" t="s">
        <v>470</v>
      </c>
      <c r="R61" s="164" t="s">
        <v>26</v>
      </c>
      <c r="S61" s="169" t="s">
        <v>316</v>
      </c>
      <c r="T61" s="190"/>
      <c r="V61" s="284"/>
    </row>
    <row r="62" spans="2:22">
      <c r="B62" s="170">
        <v>25</v>
      </c>
      <c r="C62" s="170">
        <v>-4.1504222031249994E-3</v>
      </c>
      <c r="D62" s="170">
        <v>-4.1504222031249994E-3</v>
      </c>
      <c r="E62" s="170">
        <v>-4.1504222031249994E-3</v>
      </c>
      <c r="F62" s="170">
        <v>-3.0000995039062496E-3</v>
      </c>
      <c r="G62" s="170">
        <v>-3.0000995039062496E-3</v>
      </c>
      <c r="H62" s="170">
        <v>-3.0000995039062496E-3</v>
      </c>
      <c r="I62" s="170">
        <v>-2.3877190625000004E-3</v>
      </c>
      <c r="J62" s="170">
        <v>-3.1666732929687504E-3</v>
      </c>
      <c r="K62" s="170">
        <v>-1.73556734375E-3</v>
      </c>
      <c r="L62" s="170">
        <v>-2.1116833593750002E-2</v>
      </c>
      <c r="M62" s="170">
        <v>-1.3754232421874998E-2</v>
      </c>
      <c r="N62" s="170">
        <v>-7.0400654687499988E-3</v>
      </c>
      <c r="O62" s="170">
        <v>-2.3987040625000002E-3</v>
      </c>
      <c r="P62" s="170">
        <v>-4.0000000000000002E-4</v>
      </c>
      <c r="Q62" s="170">
        <v>-2.0886312109375002E-3</v>
      </c>
      <c r="R62" s="170">
        <v>-9.0654022515625015E-4</v>
      </c>
      <c r="S62" s="170">
        <v>-1.8785707812499996E-3</v>
      </c>
      <c r="V62" s="284"/>
    </row>
    <row r="63" spans="2:22">
      <c r="B63" s="170">
        <v>50</v>
      </c>
      <c r="C63" s="170">
        <v>-4.0728826250000004E-3</v>
      </c>
      <c r="D63" s="170">
        <v>-4.0728826250000004E-3</v>
      </c>
      <c r="E63" s="170">
        <v>-4.0728826250000004E-3</v>
      </c>
      <c r="F63" s="170">
        <v>-2.9470033125000004E-3</v>
      </c>
      <c r="G63" s="170">
        <v>-2.9470033125000004E-3</v>
      </c>
      <c r="H63" s="170">
        <v>-2.9470033125000004E-3</v>
      </c>
      <c r="I63" s="170">
        <v>-2.3451775000000001E-3</v>
      </c>
      <c r="J63" s="170">
        <v>-3.1134201875000003E-3</v>
      </c>
      <c r="K63" s="170">
        <v>-1.7067137499999999E-3</v>
      </c>
      <c r="L63" s="170">
        <v>-2.0473362499999998E-2</v>
      </c>
      <c r="M63" s="170">
        <v>-1.3313018749999999E-2</v>
      </c>
      <c r="N63" s="170">
        <v>-6.7903987499999992E-3</v>
      </c>
      <c r="O63" s="170">
        <v>-2.2930325000000001E-3</v>
      </c>
      <c r="P63" s="170">
        <v>-4.0000000000000002E-4</v>
      </c>
      <c r="Q63" s="170">
        <v>-2.0217718749999999E-3</v>
      </c>
      <c r="R63" s="170">
        <v>-9.1121335249999991E-4</v>
      </c>
      <c r="S63" s="170">
        <v>-1.8164949999999998E-3</v>
      </c>
      <c r="V63" s="284"/>
    </row>
    <row r="64" spans="2:22">
      <c r="B64" s="170">
        <v>75</v>
      </c>
      <c r="C64" s="170">
        <v>-3.9044394843749997E-3</v>
      </c>
      <c r="D64" s="170">
        <v>-3.9044394843749997E-3</v>
      </c>
      <c r="E64" s="170">
        <v>-3.9044394843749997E-3</v>
      </c>
      <c r="F64" s="170">
        <v>-2.8126976289062498E-3</v>
      </c>
      <c r="G64" s="170">
        <v>-2.8126976289062498E-3</v>
      </c>
      <c r="H64" s="170">
        <v>-2.8126976289062498E-3</v>
      </c>
      <c r="I64" s="170">
        <v>-2.2468271875000002E-3</v>
      </c>
      <c r="J64" s="170">
        <v>-2.9747186054687497E-3</v>
      </c>
      <c r="K64" s="170">
        <v>-1.6311057812499999E-3</v>
      </c>
      <c r="L64" s="170">
        <v>-1.952053984375E-2</v>
      </c>
      <c r="M64" s="170">
        <v>-1.2624263671875E-2</v>
      </c>
      <c r="N64" s="170">
        <v>-6.4510801562499987E-3</v>
      </c>
      <c r="O64" s="170">
        <v>-2.1550096875000003E-3</v>
      </c>
      <c r="P64" s="170">
        <v>-4.0000000000000002E-4</v>
      </c>
      <c r="Q64" s="170">
        <v>-1.9137012109375002E-3</v>
      </c>
      <c r="R64" s="170">
        <v>-8.811141126562499E-4</v>
      </c>
      <c r="S64" s="170">
        <v>-1.6979426562499999E-3</v>
      </c>
      <c r="V64" s="284"/>
    </row>
    <row r="65" spans="2:26">
      <c r="B65" s="170">
        <v>100</v>
      </c>
      <c r="C65" s="170">
        <v>-3.6544509999999995E-3</v>
      </c>
      <c r="D65" s="170">
        <v>-3.6544509999999995E-3</v>
      </c>
      <c r="E65" s="170">
        <v>-3.6544509999999995E-3</v>
      </c>
      <c r="F65" s="170">
        <v>-2.6121630000000007E-3</v>
      </c>
      <c r="G65" s="170">
        <v>-2.6121630000000007E-3</v>
      </c>
      <c r="H65" s="170">
        <v>-2.6121630000000007E-3</v>
      </c>
      <c r="I65" s="170">
        <v>-2.0991199999999999E-3</v>
      </c>
      <c r="J65" s="170">
        <v>-2.7675830000000001E-3</v>
      </c>
      <c r="K65" s="170">
        <v>-1.51541E-3</v>
      </c>
      <c r="L65" s="170">
        <v>-1.8395100000000001E-2</v>
      </c>
      <c r="M65" s="170">
        <v>-1.17348E-2</v>
      </c>
      <c r="N65" s="170">
        <v>-6.0241900000000013E-3</v>
      </c>
      <c r="O65" s="170">
        <v>-1.98766E-3</v>
      </c>
      <c r="P65" s="170">
        <v>-3.6129206000000001E-4</v>
      </c>
      <c r="Q65" s="170">
        <v>-1.7729200000000003E-3</v>
      </c>
      <c r="R65" s="170">
        <v>-8.2325764000000003E-4</v>
      </c>
      <c r="S65" s="170">
        <v>-1.5414200000000002E-3</v>
      </c>
      <c r="V65" s="284"/>
    </row>
    <row r="66" spans="2:26">
      <c r="B66" s="170">
        <v>125</v>
      </c>
      <c r="C66" s="170">
        <v>-3.3322753906249994E-3</v>
      </c>
      <c r="D66" s="170">
        <v>-3.3322753906249994E-3</v>
      </c>
      <c r="E66" s="170">
        <v>-3.3322753906249994E-3</v>
      </c>
      <c r="F66" s="170">
        <v>-2.3587743164062503E-3</v>
      </c>
      <c r="G66" s="170">
        <v>-2.3587743164062503E-3</v>
      </c>
      <c r="H66" s="170">
        <v>-2.3587743164062503E-3</v>
      </c>
      <c r="I66" s="170">
        <v>-1.9085078125E-3</v>
      </c>
      <c r="J66" s="170">
        <v>-2.5065643554687501E-3</v>
      </c>
      <c r="K66" s="170">
        <v>-1.36629296875E-3</v>
      </c>
      <c r="L66" s="170">
        <v>-1.7169558593749999E-2</v>
      </c>
      <c r="M66" s="170">
        <v>-1.0680388671875001E-2</v>
      </c>
      <c r="N66" s="170">
        <v>-5.5118085937499997E-3</v>
      </c>
      <c r="O66" s="170">
        <v>-1.7940078125E-3</v>
      </c>
      <c r="P66" s="170">
        <v>-3.0752358398437494E-4</v>
      </c>
      <c r="Q66" s="170">
        <v>-1.6061505859375001E-3</v>
      </c>
      <c r="R66" s="170">
        <v>-7.4394747265625009E-4</v>
      </c>
      <c r="S66" s="170">
        <v>-1.3617695312499998E-3</v>
      </c>
      <c r="V66" s="284"/>
    </row>
    <row r="67" spans="2:26">
      <c r="B67" s="170">
        <v>150</v>
      </c>
      <c r="C67" s="170">
        <v>-2.9472708750000005E-3</v>
      </c>
      <c r="D67" s="170">
        <v>-2.9472708750000005E-3</v>
      </c>
      <c r="E67" s="170">
        <v>-2.9472708750000005E-3</v>
      </c>
      <c r="F67" s="170">
        <v>-2.0643008124999998E-3</v>
      </c>
      <c r="G67" s="170">
        <v>-2.0643008124999998E-3</v>
      </c>
      <c r="H67" s="170">
        <v>-2.0643008124999998E-3</v>
      </c>
      <c r="I67" s="170">
        <v>-1.6814425000000002E-3</v>
      </c>
      <c r="J67" s="170">
        <v>-2.2037501875000003E-3</v>
      </c>
      <c r="K67" s="170">
        <v>-1.19042125E-3</v>
      </c>
      <c r="L67" s="170">
        <v>-1.5852212500000001E-2</v>
      </c>
      <c r="M67" s="170">
        <v>-9.4857187500000002E-3</v>
      </c>
      <c r="N67" s="170">
        <v>-4.9160162499999986E-3</v>
      </c>
      <c r="O67" s="170">
        <v>-1.5770775E-3</v>
      </c>
      <c r="P67" s="170">
        <v>-2.5240605375E-4</v>
      </c>
      <c r="Q67" s="170">
        <v>-1.418336875E-3</v>
      </c>
      <c r="R67" s="170">
        <v>-6.4877555249999994E-4</v>
      </c>
      <c r="S67" s="170">
        <v>-1.1701699999999999E-3</v>
      </c>
      <c r="V67" s="284"/>
    </row>
    <row r="68" spans="2:26">
      <c r="B68" s="170">
        <v>175</v>
      </c>
      <c r="C68" s="170">
        <v>-2.5087956718749995E-3</v>
      </c>
      <c r="D68" s="170">
        <v>-2.5087956718749995E-3</v>
      </c>
      <c r="E68" s="170">
        <v>-2.5087956718749995E-3</v>
      </c>
      <c r="F68" s="170">
        <v>-1.7389060664062504E-3</v>
      </c>
      <c r="G68" s="170">
        <v>-1.7389060664062504E-3</v>
      </c>
      <c r="H68" s="170">
        <v>-1.7389060664062504E-3</v>
      </c>
      <c r="I68" s="170">
        <v>-1.4243759375000002E-3</v>
      </c>
      <c r="J68" s="170">
        <v>-1.8687645429687496E-3</v>
      </c>
      <c r="K68" s="170">
        <v>-9.9446140625000009E-4</v>
      </c>
      <c r="L68" s="170">
        <v>-1.4387139843750001E-2</v>
      </c>
      <c r="M68" s="170">
        <v>-8.1644074218750005E-3</v>
      </c>
      <c r="N68" s="170">
        <v>-4.2388932812499986E-3</v>
      </c>
      <c r="O68" s="170">
        <v>-1.3398934375E-3</v>
      </c>
      <c r="P68" s="170">
        <v>-1.9774381273437503E-4</v>
      </c>
      <c r="Q68" s="170">
        <v>-1.2126443359375E-3</v>
      </c>
      <c r="R68" s="170">
        <v>-5.4262222515625007E-4</v>
      </c>
      <c r="S68" s="170">
        <v>-9.7413640625000002E-4</v>
      </c>
      <c r="V68" s="284"/>
    </row>
    <row r="69" spans="2:26">
      <c r="B69" s="170">
        <v>200</v>
      </c>
      <c r="C69" s="170">
        <v>-2.0262079999999998E-3</v>
      </c>
      <c r="D69" s="170">
        <v>-2.0262079999999998E-3</v>
      </c>
      <c r="E69" s="170">
        <v>-2.0262079999999998E-3</v>
      </c>
      <c r="F69" s="170">
        <v>-1.3911480000000003E-3</v>
      </c>
      <c r="G69" s="170">
        <v>-1.3911480000000003E-3</v>
      </c>
      <c r="H69" s="170">
        <v>-1.3911480000000003E-3</v>
      </c>
      <c r="I69" s="170">
        <v>-1.14376E-3</v>
      </c>
      <c r="J69" s="170">
        <v>-1.508768E-3</v>
      </c>
      <c r="K69" s="170">
        <v>-7.8508000000000007E-4</v>
      </c>
      <c r="L69" s="170">
        <v>-1.2654200000000001E-2</v>
      </c>
      <c r="M69" s="171">
        <v>-6.7190000000000001E-3</v>
      </c>
      <c r="N69" s="171">
        <v>-3.4825199999999994E-3</v>
      </c>
      <c r="O69" s="170">
        <v>-1.08548E-3</v>
      </c>
      <c r="P69" s="170">
        <v>-1.4533296000000001E-4</v>
      </c>
      <c r="Q69" s="170">
        <v>-9.904600000000003E-4</v>
      </c>
      <c r="R69" s="170">
        <v>-4.296562399999999E-4</v>
      </c>
      <c r="S69" s="170">
        <v>-7.7752000000000019E-4</v>
      </c>
      <c r="V69" s="122"/>
      <c r="W69" s="122"/>
      <c r="X69" s="122"/>
      <c r="Y69" s="122"/>
      <c r="Z69" s="122"/>
    </row>
    <row r="70" spans="2:26">
      <c r="B70" s="170">
        <v>225</v>
      </c>
      <c r="C70" s="170">
        <v>-1.5088660781249995E-3</v>
      </c>
      <c r="D70" s="170">
        <v>-1.5088660781249995E-3</v>
      </c>
      <c r="E70" s="170">
        <v>-1.5088660781249995E-3</v>
      </c>
      <c r="F70" s="170">
        <v>-1.02797887890625E-3</v>
      </c>
      <c r="G70" s="170">
        <v>-1.02797887890625E-3</v>
      </c>
      <c r="H70" s="170">
        <v>-1.02797887890625E-3</v>
      </c>
      <c r="I70" s="170">
        <v>-8.4604656250000018E-4</v>
      </c>
      <c r="J70" s="170">
        <v>-1.12845766796875E-3</v>
      </c>
      <c r="K70" s="170">
        <v>-5.6894359375000026E-4</v>
      </c>
      <c r="L70" s="170">
        <v>-1.046903359375E-2</v>
      </c>
      <c r="M70" s="170">
        <v>-5.1409699218750004E-3</v>
      </c>
      <c r="N70" s="170">
        <v>-2.64897671875E-3</v>
      </c>
      <c r="O70" s="170">
        <v>-8.1686156249999992E-4</v>
      </c>
      <c r="P70" s="170">
        <v>-9.6961350234374972E-5</v>
      </c>
      <c r="Q70" s="170">
        <v>-7.5139246093750033E-4</v>
      </c>
      <c r="R70" s="170">
        <v>-3.1333475015625002E-4</v>
      </c>
      <c r="S70" s="170">
        <v>-5.8050828124999994E-4</v>
      </c>
    </row>
    <row r="71" spans="2:26">
      <c r="B71" s="170">
        <v>250</v>
      </c>
      <c r="C71" s="170">
        <v>-9.661281249999993E-4</v>
      </c>
      <c r="D71" s="170">
        <v>-9.661281249999993E-4</v>
      </c>
      <c r="E71" s="170">
        <v>-9.661281249999993E-4</v>
      </c>
      <c r="F71" s="170">
        <v>-6.5474531250000036E-4</v>
      </c>
      <c r="G71" s="170">
        <v>-6.5474531250000036E-4</v>
      </c>
      <c r="H71" s="170">
        <v>-6.5474531250000036E-4</v>
      </c>
      <c r="I71" s="170">
        <v>-5.3768750000000008E-4</v>
      </c>
      <c r="J71" s="170">
        <v>-7.3006718750000005E-4</v>
      </c>
      <c r="K71" s="170">
        <v>-3.5271874999999995E-4</v>
      </c>
      <c r="L71" s="170">
        <v>-7.5830625000000013E-3</v>
      </c>
      <c r="M71" s="170">
        <v>-3.410718750000001E-3</v>
      </c>
      <c r="N71" s="170">
        <v>-1.7403437499999995E-3</v>
      </c>
      <c r="O71" s="170">
        <v>-5.370625000000001E-4</v>
      </c>
      <c r="P71" s="170">
        <v>-5.440859374999997E-5</v>
      </c>
      <c r="Q71" s="170">
        <v>-4.9327187500000007E-4</v>
      </c>
      <c r="R71" s="170">
        <v>-1.9640331249999999E-4</v>
      </c>
      <c r="S71" s="170">
        <v>-3.7962499999999975E-4</v>
      </c>
    </row>
    <row r="72" spans="2:26">
      <c r="B72" s="170">
        <v>275</v>
      </c>
      <c r="C72" s="170">
        <v>-4.0735235937499963E-4</v>
      </c>
      <c r="D72" s="170">
        <v>-4.0735235937499963E-4</v>
      </c>
      <c r="E72" s="170">
        <v>-4.0735235937499963E-4</v>
      </c>
      <c r="F72" s="170">
        <v>-2.7518825390625095E-4</v>
      </c>
      <c r="G72" s="170">
        <v>-2.7518825390625095E-4</v>
      </c>
      <c r="H72" s="170">
        <v>-2.7518825390625095E-4</v>
      </c>
      <c r="I72" s="170">
        <v>-2.2513468750000044E-4</v>
      </c>
      <c r="J72" s="170">
        <v>-3.1336673046874922E-4</v>
      </c>
      <c r="K72" s="170">
        <v>-1.4307203125000028E-4</v>
      </c>
      <c r="L72" s="170">
        <v>-3.6834898437500124E-3</v>
      </c>
      <c r="M72" s="170">
        <v>-1.4975761718749982E-3</v>
      </c>
      <c r="N72" s="170">
        <v>-7.5870140624999835E-4</v>
      </c>
      <c r="O72" s="170">
        <v>-2.4910718750000032E-4</v>
      </c>
      <c r="P72" s="170">
        <v>-1.9446056484375005E-5</v>
      </c>
      <c r="Q72" s="170">
        <v>-2.1214996093750016E-4</v>
      </c>
      <c r="R72" s="170">
        <v>-8.0895887656249669E-5</v>
      </c>
      <c r="S72" s="170">
        <v>-1.677301562499997E-4</v>
      </c>
    </row>
    <row r="73" spans="2:26">
      <c r="B73" s="170">
        <v>293</v>
      </c>
      <c r="C73" s="170">
        <v>-3.5697349699972845E-7</v>
      </c>
      <c r="D73" s="170">
        <v>-3.5697349699972845E-7</v>
      </c>
      <c r="E73" s="170">
        <v>-3.5697349699972845E-7</v>
      </c>
      <c r="F73" s="170">
        <v>7.4646191726984055E-7</v>
      </c>
      <c r="G73" s="170">
        <v>7.4646191726984055E-7</v>
      </c>
      <c r="H73" s="170">
        <v>7.4646191726984055E-7</v>
      </c>
      <c r="I73" s="170">
        <v>-1.1220267399997398E-6</v>
      </c>
      <c r="J73" s="170">
        <v>-5.8963628122938874E-7</v>
      </c>
      <c r="K73" s="170">
        <v>5.7769729999677109E-8</v>
      </c>
      <c r="L73" s="170">
        <v>-3.9039560149994941E-5</v>
      </c>
      <c r="M73" s="170">
        <v>1.6132132380996607E-5</v>
      </c>
      <c r="N73" s="170">
        <v>-7.8794178299991563E-6</v>
      </c>
      <c r="O73" s="170">
        <v>-3.8426920819999848E-5</v>
      </c>
      <c r="P73" s="170">
        <v>3.695206439938148E-8</v>
      </c>
      <c r="Q73" s="170">
        <v>7.6453752496999525E-6</v>
      </c>
      <c r="R73" s="170">
        <v>6.1735885078360302E-7</v>
      </c>
      <c r="S73" s="170">
        <v>-2.4261776691992056E-6</v>
      </c>
    </row>
    <row r="75" spans="2:26">
      <c r="B75" s="287" t="s">
        <v>580</v>
      </c>
      <c r="C75" s="287"/>
      <c r="D75" s="287"/>
      <c r="E75" s="287"/>
      <c r="F75" s="287"/>
      <c r="G75" s="287"/>
      <c r="H75" s="287"/>
      <c r="I75" s="287" t="s">
        <v>592</v>
      </c>
      <c r="J75" s="287"/>
      <c r="K75" s="287"/>
      <c r="L75" s="287"/>
    </row>
    <row r="76" spans="2:26">
      <c r="B76" s="164" t="s">
        <v>330</v>
      </c>
      <c r="C76" s="164" t="s">
        <v>512</v>
      </c>
      <c r="D76" s="164" t="s">
        <v>514</v>
      </c>
      <c r="E76" s="164" t="s">
        <v>515</v>
      </c>
      <c r="F76" s="191" t="s">
        <v>558</v>
      </c>
      <c r="G76" s="191" t="s">
        <v>559</v>
      </c>
      <c r="H76" s="191" t="s">
        <v>579</v>
      </c>
      <c r="I76" s="194" t="s">
        <v>589</v>
      </c>
      <c r="J76" s="194" t="s">
        <v>590</v>
      </c>
      <c r="K76" s="194" t="s">
        <v>593</v>
      </c>
      <c r="L76" s="194" t="s">
        <v>591</v>
      </c>
    </row>
    <row r="77" spans="2:26">
      <c r="B77" s="170">
        <v>25</v>
      </c>
      <c r="C77" s="170">
        <v>-1.0760365520994026E-4</v>
      </c>
      <c r="D77" s="170">
        <v>-2.0983133171248539E-4</v>
      </c>
      <c r="E77" s="163">
        <v>-1.8326598875000009E-4</v>
      </c>
      <c r="F77" s="7"/>
      <c r="G77" s="163">
        <v>-2.3328963099700017E-4</v>
      </c>
      <c r="H77" s="7"/>
      <c r="I77" s="163">
        <v>-8.8178025121253838E-4</v>
      </c>
      <c r="J77" s="163">
        <v>-6.6798963447319926E-4</v>
      </c>
      <c r="K77" s="163">
        <v>-7.1887000781349782E-4</v>
      </c>
      <c r="L77" s="163">
        <v>-7.0060543370565915E-4</v>
      </c>
      <c r="W77" s="284"/>
    </row>
    <row r="78" spans="2:26">
      <c r="B78" s="170">
        <v>50</v>
      </c>
      <c r="C78" s="170">
        <v>-1.1866732422035694E-4</v>
      </c>
      <c r="D78" s="170">
        <v>-2.1904406893904788E-4</v>
      </c>
      <c r="E78" s="163">
        <v>-1.9717848875000008E-4</v>
      </c>
      <c r="F78" s="7"/>
      <c r="G78" s="163">
        <v>-2.2963268487825013E-4</v>
      </c>
      <c r="H78" s="7"/>
      <c r="I78" s="163">
        <v>-9.4714954064283193E-4</v>
      </c>
      <c r="J78" s="163">
        <v>-7.3586974829789901E-4</v>
      </c>
      <c r="K78" s="163">
        <v>-7.760385763111911E-4</v>
      </c>
      <c r="L78" s="163">
        <v>-7.6481651314807967E-4</v>
      </c>
      <c r="W78" s="284"/>
    </row>
    <row r="79" spans="2:26">
      <c r="B79" s="170">
        <v>75</v>
      </c>
      <c r="C79" s="170">
        <v>-1.235513174495236E-4</v>
      </c>
      <c r="D79" s="170">
        <v>-2.2428969444686039E-4</v>
      </c>
      <c r="E79" s="163">
        <v>-2.0484098875000008E-4</v>
      </c>
      <c r="F79" s="7"/>
      <c r="G79" s="163">
        <v>-2.2987453172200006E-4</v>
      </c>
      <c r="H79" s="163">
        <v>-2.31800125326664E-4</v>
      </c>
      <c r="I79" s="163">
        <v>-9.3131890627365084E-4</v>
      </c>
      <c r="J79" s="163">
        <v>-7.3831041888481989E-4</v>
      </c>
      <c r="K79" s="163">
        <v>-7.7738230325407329E-4</v>
      </c>
      <c r="L79" s="163">
        <v>-7.7267172828456715E-4</v>
      </c>
      <c r="W79" s="284"/>
    </row>
    <row r="80" spans="2:26">
      <c r="B80" s="170">
        <v>100</v>
      </c>
      <c r="C80" s="170">
        <v>-2.3782190649749982E-4</v>
      </c>
      <c r="D80" s="170">
        <v>-2.245475976890479E-4</v>
      </c>
      <c r="E80" s="163">
        <v>-2.0625348875000004E-4</v>
      </c>
      <c r="F80" s="163">
        <v>-2.2891869999999999E-4</v>
      </c>
      <c r="G80" s="163">
        <v>-2.2992216371575008E-4</v>
      </c>
      <c r="H80" s="163">
        <v>-2.183341819873029E-4</v>
      </c>
      <c r="I80" s="163">
        <v>-8.652102937654301E-4</v>
      </c>
      <c r="J80" s="163">
        <v>-7.0049970429405281E-4</v>
      </c>
      <c r="K80" s="163">
        <v>-7.3859795204835564E-4</v>
      </c>
      <c r="L80" s="163">
        <v>-7.3905934728190747E-4</v>
      </c>
      <c r="W80" s="284"/>
    </row>
    <row r="81" spans="2:37">
      <c r="B81" s="170">
        <v>125</v>
      </c>
      <c r="C81" s="170">
        <v>-2.2987710605999986E-4</v>
      </c>
      <c r="D81" s="170">
        <v>-2.1899567905623538E-4</v>
      </c>
      <c r="E81" s="163">
        <v>-2.0141598875000007E-4</v>
      </c>
      <c r="F81" s="163">
        <v>-2.269812E-4</v>
      </c>
      <c r="G81" s="163">
        <v>-2.2644424492200015E-4</v>
      </c>
      <c r="H81" s="163">
        <v>-2.0468369331081966E-4</v>
      </c>
      <c r="I81" s="163">
        <v>-7.7401431833581556E-4</v>
      </c>
      <c r="J81" s="163">
        <v>-6.3887507503248002E-4</v>
      </c>
      <c r="K81" s="163">
        <v>-6.7491871408310118E-4</v>
      </c>
      <c r="L81" s="163">
        <v>-6.7972064880289615E-4</v>
      </c>
      <c r="W81" s="284"/>
    </row>
    <row r="82" spans="2:37">
      <c r="B82" s="170">
        <v>150</v>
      </c>
      <c r="C82" s="170">
        <v>-2.1562621187249989E-4</v>
      </c>
      <c r="D82" s="170">
        <v>-2.069966764390479E-4</v>
      </c>
      <c r="E82" s="163">
        <v>-1.9032848875000005E-4</v>
      </c>
      <c r="F82" s="163">
        <v>-2.1666870000000001E-4</v>
      </c>
      <c r="G82" s="163">
        <v>-2.1687111127825014E-4</v>
      </c>
      <c r="H82" s="163">
        <v>-1.8994269209726385E-4</v>
      </c>
      <c r="I82" s="163">
        <v>-6.7141535107100958E-4</v>
      </c>
      <c r="J82" s="163">
        <v>-5.6259098212838011E-4</v>
      </c>
      <c r="K82" s="163">
        <v>-5.9587458848771356E-4</v>
      </c>
      <c r="L82" s="163">
        <v>-6.0196612501924756E-4</v>
      </c>
      <c r="W82" s="284"/>
    </row>
    <row r="83" spans="2:37">
      <c r="B83" s="170">
        <v>175</v>
      </c>
      <c r="C83" s="170">
        <v>-1.9480813018499989E-4</v>
      </c>
      <c r="D83" s="170">
        <v>-1.8808449179061039E-4</v>
      </c>
      <c r="E83" s="163">
        <v>-1.7298927750000005E-4</v>
      </c>
      <c r="F83" s="163">
        <v>-1.9804369999999998E-4</v>
      </c>
      <c r="G83" s="163">
        <v>-1.9939477059700015E-4</v>
      </c>
      <c r="H83" s="163">
        <v>-1.7244593550531294E-4</v>
      </c>
      <c r="I83" s="163">
        <v>-5.6136445877968326E-4</v>
      </c>
      <c r="J83" s="163">
        <v>-4.7654282271353206E-4</v>
      </c>
      <c r="K83" s="163">
        <v>-5.0589690525903335E-4</v>
      </c>
      <c r="L83" s="163">
        <v>-5.1052090894645661E-4</v>
      </c>
      <c r="W83" s="284"/>
    </row>
    <row r="84" spans="2:37">
      <c r="B84" s="170">
        <v>200</v>
      </c>
      <c r="C84" s="170">
        <v>-1.6716176724749989E-4</v>
      </c>
      <c r="D84" s="170">
        <v>-1.6195051768904789E-4</v>
      </c>
      <c r="E84" s="163">
        <v>-1.4904302750000004E-4</v>
      </c>
      <c r="F84" s="163">
        <v>-1.7116869999999999E-4</v>
      </c>
      <c r="G84" s="163">
        <v>-1.729689025657501E-4</v>
      </c>
      <c r="H84" s="163">
        <v>-1.4924266265952464E-4</v>
      </c>
      <c r="I84" s="163">
        <v>-4.462754022708335E-4</v>
      </c>
      <c r="J84" s="163">
        <v>-3.8324333725243021E-4</v>
      </c>
      <c r="K84" s="163">
        <v>-4.0768193932327207E-4</v>
      </c>
      <c r="L84" s="163">
        <v>-4.0915927622331368E-4</v>
      </c>
      <c r="W84" s="284"/>
    </row>
    <row r="85" spans="2:37">
      <c r="B85" s="170">
        <v>225</v>
      </c>
      <c r="C85" s="170">
        <v>-1.3242602930999995E-4</v>
      </c>
      <c r="D85" s="170">
        <v>-1.2842996389998538E-4</v>
      </c>
      <c r="E85" s="163">
        <v>-1.1822177750000002E-4</v>
      </c>
      <c r="F85" s="163">
        <v>-1.3610619999999997E-4</v>
      </c>
      <c r="G85" s="163">
        <v>-1.3730885874700013E-4</v>
      </c>
      <c r="H85" s="163">
        <v>-1.1873662792299238E-4</v>
      </c>
      <c r="I85" s="163">
        <v>-3.2764554341305181E-4</v>
      </c>
      <c r="J85" s="163">
        <v>-2.8447687365335445E-4</v>
      </c>
      <c r="K85" s="163">
        <v>-3.0324901835278859E-4</v>
      </c>
      <c r="L85" s="163">
        <v>-3.0174941072736046E-4</v>
      </c>
      <c r="W85" s="284"/>
    </row>
    <row r="86" spans="2:37">
      <c r="B86" s="170">
        <v>250</v>
      </c>
      <c r="C86" s="170">
        <v>-9.0339822622499962E-5</v>
      </c>
      <c r="D86" s="170">
        <v>-8.7488183939047899E-5</v>
      </c>
      <c r="E86" s="163">
        <v>-8.0525527500000012E-5</v>
      </c>
      <c r="F86" s="163">
        <v>-9.2918699999999988E-5</v>
      </c>
      <c r="G86" s="163">
        <v>-9.2891662578250053E-5</v>
      </c>
      <c r="H86" s="163">
        <v>-8.0525531615708275E-5</v>
      </c>
      <c r="I86" s="163">
        <v>-2.073162749771414E-4</v>
      </c>
      <c r="J86" s="163">
        <v>-1.8167320119849356E-4</v>
      </c>
      <c r="K86" s="163">
        <v>-1.9435010585689758E-4</v>
      </c>
      <c r="L86" s="163">
        <v>-1.9141872140318708E-4</v>
      </c>
      <c r="W86" s="284"/>
    </row>
    <row r="87" spans="2:37">
      <c r="B87" s="170">
        <v>275</v>
      </c>
      <c r="C87" s="170">
        <v>-4.0642053435000004E-5</v>
      </c>
      <c r="D87" s="170">
        <v>-3.9207001634360405E-5</v>
      </c>
      <c r="E87" s="163">
        <v>-3.5957700000000003E-5</v>
      </c>
      <c r="F87" s="163">
        <v>-4.1731199999999991E-5</v>
      </c>
      <c r="G87" s="163">
        <v>-4.0956009372000035E-5</v>
      </c>
      <c r="H87" s="163">
        <v>-3.5786432659027609E-5</v>
      </c>
      <c r="I87" s="163">
        <v>-8.6658986781694452E-5</v>
      </c>
      <c r="J87" s="163">
        <v>-7.6495655627216205E-5</v>
      </c>
      <c r="K87" s="163">
        <v>-8.2149954666048744E-5</v>
      </c>
      <c r="L87" s="163">
        <v>-8.0027233418697712E-5</v>
      </c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</row>
    <row r="88" spans="2:37">
      <c r="B88" s="170">
        <v>293</v>
      </c>
      <c r="C88" s="170">
        <v>0</v>
      </c>
      <c r="D88" s="170">
        <v>0</v>
      </c>
      <c r="E88" s="163">
        <v>0</v>
      </c>
      <c r="F88" s="192">
        <v>0</v>
      </c>
      <c r="G88" s="192">
        <v>0</v>
      </c>
      <c r="H88" s="192">
        <v>0</v>
      </c>
      <c r="I88" s="163">
        <v>0</v>
      </c>
      <c r="J88" s="163">
        <v>0</v>
      </c>
      <c r="K88" s="163">
        <v>0</v>
      </c>
      <c r="L88" s="163">
        <v>0</v>
      </c>
    </row>
    <row r="91" spans="2:37">
      <c r="B91" s="162"/>
      <c r="C91" s="162" t="s">
        <v>546</v>
      </c>
      <c r="L91" s="269" t="s">
        <v>705</v>
      </c>
      <c r="M91" s="269"/>
    </row>
    <row r="92" spans="2:37">
      <c r="B92" s="162" t="s">
        <v>330</v>
      </c>
      <c r="C92" s="162" t="s">
        <v>545</v>
      </c>
      <c r="E92" s="269" t="s">
        <v>723</v>
      </c>
      <c r="F92" s="269"/>
      <c r="H92" s="7" t="s">
        <v>330</v>
      </c>
      <c r="I92" s="154" t="s">
        <v>695</v>
      </c>
      <c r="L92" s="62" t="s">
        <v>330</v>
      </c>
      <c r="M92" s="62" t="s">
        <v>704</v>
      </c>
    </row>
    <row r="93" spans="2:37">
      <c r="B93" s="162">
        <v>89</v>
      </c>
      <c r="C93" s="162">
        <v>-1.2015865579621369E-3</v>
      </c>
      <c r="E93" s="62" t="s">
        <v>330</v>
      </c>
      <c r="F93" s="62" t="s">
        <v>704</v>
      </c>
      <c r="H93" s="7">
        <v>100</v>
      </c>
      <c r="I93" s="7">
        <v>-2.0426395441918224E-3</v>
      </c>
      <c r="L93" s="75">
        <v>9.5785940000000007</v>
      </c>
      <c r="M93" s="7">
        <v>-1.0154E-2</v>
      </c>
    </row>
    <row r="94" spans="2:37">
      <c r="B94" s="162">
        <v>100</v>
      </c>
      <c r="C94" s="162">
        <v>-1.1906216779182396E-3</v>
      </c>
      <c r="E94" s="7">
        <v>10</v>
      </c>
      <c r="F94" s="9">
        <v>-4.8500000000000001E-3</v>
      </c>
      <c r="H94" s="7">
        <v>110</v>
      </c>
      <c r="I94" s="7">
        <v>-1.9685391385703345E-3</v>
      </c>
      <c r="L94" s="75">
        <v>14.956049999999999</v>
      </c>
      <c r="M94" s="7">
        <v>-1.0078999999999999E-2</v>
      </c>
    </row>
    <row r="95" spans="2:37">
      <c r="B95" s="162">
        <v>125</v>
      </c>
      <c r="C95" s="162">
        <v>-1.1544028795038611E-3</v>
      </c>
      <c r="E95" s="7">
        <v>20</v>
      </c>
      <c r="F95" s="9">
        <v>-4.8500000000000001E-3</v>
      </c>
      <c r="H95" s="7">
        <v>120</v>
      </c>
      <c r="I95" s="7">
        <v>-1.8961369339621469E-3</v>
      </c>
      <c r="L95" s="75">
        <v>26.047052999999998</v>
      </c>
      <c r="M95" s="7">
        <v>-1.0000999999999999E-2</v>
      </c>
    </row>
    <row r="96" spans="2:37">
      <c r="B96" s="162">
        <v>150</v>
      </c>
      <c r="C96" s="162">
        <v>-1.0909581671436077E-3</v>
      </c>
      <c r="E96" s="7">
        <v>25</v>
      </c>
      <c r="F96" s="9">
        <v>-4.8500000000000001E-3</v>
      </c>
      <c r="H96" s="7">
        <v>130</v>
      </c>
      <c r="I96" s="7">
        <v>-1.8242151562702501E-3</v>
      </c>
      <c r="L96" s="75">
        <v>41.507238999999998</v>
      </c>
      <c r="M96" s="7">
        <v>-9.7990000000000004E-3</v>
      </c>
    </row>
    <row r="97" spans="2:13">
      <c r="B97" s="162">
        <v>175</v>
      </c>
      <c r="C97" s="162">
        <v>-9.9112906042497892E-4</v>
      </c>
      <c r="E97" s="7">
        <v>50</v>
      </c>
      <c r="F97" s="9">
        <v>-4.81E-3</v>
      </c>
      <c r="H97" s="7">
        <v>140</v>
      </c>
      <c r="I97" s="7">
        <v>-1.7499436783222171E-3</v>
      </c>
      <c r="L97" s="75">
        <v>51.589969000000004</v>
      </c>
      <c r="M97" s="7">
        <v>-9.672E-3</v>
      </c>
    </row>
    <row r="98" spans="2:13">
      <c r="B98" s="162">
        <v>200</v>
      </c>
      <c r="C98" s="162">
        <v>-8.507329042479752E-4</v>
      </c>
      <c r="E98" s="7">
        <v>75</v>
      </c>
      <c r="F98" s="9">
        <v>-4.7200000000000002E-3</v>
      </c>
      <c r="H98" s="7">
        <v>150</v>
      </c>
      <c r="I98" s="7">
        <v>-1.6619788831172015E-3</v>
      </c>
      <c r="L98" s="75">
        <v>66.714063999999993</v>
      </c>
      <c r="M98" s="7">
        <v>-9.3959999999999998E-3</v>
      </c>
    </row>
    <row r="99" spans="2:13">
      <c r="B99" s="162">
        <v>225</v>
      </c>
      <c r="C99" s="162">
        <v>-6.6959032976259675E-4</v>
      </c>
      <c r="E99" s="7">
        <v>100</v>
      </c>
      <c r="F99" s="9">
        <v>-4.5300000000000002E-3</v>
      </c>
      <c r="H99" s="7">
        <v>160</v>
      </c>
      <c r="I99" s="7">
        <v>-1.5710962078697766E-3</v>
      </c>
      <c r="L99" s="75">
        <v>76.796794000000006</v>
      </c>
      <c r="M99" s="7">
        <v>-9.1210000000000006E-3</v>
      </c>
    </row>
    <row r="100" spans="2:13">
      <c r="B100" s="162">
        <v>250</v>
      </c>
      <c r="C100" s="162">
        <v>-4.5055271530634346E-4</v>
      </c>
      <c r="E100" s="7">
        <v>150</v>
      </c>
      <c r="F100" s="9">
        <v>-3.7799999999999999E-3</v>
      </c>
      <c r="H100" s="7">
        <v>170</v>
      </c>
      <c r="I100" s="7">
        <v>-1.476808163269887E-3</v>
      </c>
      <c r="L100" s="75">
        <v>90.912616</v>
      </c>
      <c r="M100" s="7">
        <v>-8.6709999999999999E-3</v>
      </c>
    </row>
    <row r="101" spans="2:13">
      <c r="B101" s="162">
        <v>275</v>
      </c>
      <c r="C101" s="162">
        <v>-1.9852964734171503E-4</v>
      </c>
      <c r="E101" s="7">
        <v>200</v>
      </c>
      <c r="F101" s="9">
        <v>-2.7499999999999998E-3</v>
      </c>
      <c r="H101" s="7">
        <v>180</v>
      </c>
      <c r="I101" s="7">
        <v>-1.3780064456568885E-3</v>
      </c>
      <c r="L101" s="75">
        <v>102.67580100000001</v>
      </c>
      <c r="M101" s="7">
        <v>-8.3459999999999993E-3</v>
      </c>
    </row>
    <row r="102" spans="2:13">
      <c r="B102" s="162">
        <v>293</v>
      </c>
      <c r="C102" s="162">
        <v>0</v>
      </c>
      <c r="E102" s="7">
        <v>250</v>
      </c>
      <c r="F102" s="9">
        <v>-1.4E-3</v>
      </c>
      <c r="H102" s="7">
        <v>190</v>
      </c>
      <c r="I102" s="7">
        <v>-1.2771655232916726E-3</v>
      </c>
      <c r="L102" s="75">
        <v>118.135988</v>
      </c>
      <c r="M102" s="7">
        <v>-7.7720000000000003E-3</v>
      </c>
    </row>
    <row r="103" spans="2:13">
      <c r="E103" s="7">
        <v>293</v>
      </c>
      <c r="F103" s="9">
        <v>0</v>
      </c>
      <c r="H103" s="7">
        <v>200</v>
      </c>
      <c r="I103" s="7">
        <v>-1.1740831256998293E-3</v>
      </c>
      <c r="L103" s="75">
        <v>128.55480900000001</v>
      </c>
      <c r="M103" s="7">
        <v>-7.4469999999999996E-3</v>
      </c>
    </row>
    <row r="104" spans="2:13">
      <c r="E104" s="7">
        <v>300</v>
      </c>
      <c r="F104" s="9">
        <v>2.5999999999999998E-4</v>
      </c>
      <c r="H104" s="7">
        <v>210</v>
      </c>
      <c r="I104" s="7">
        <v>-1.0630233341807707E-3</v>
      </c>
      <c r="L104" s="75">
        <v>153.08945199999999</v>
      </c>
      <c r="M104" s="7">
        <v>-6.45E-3</v>
      </c>
    </row>
    <row r="105" spans="2:13">
      <c r="E105" s="7">
        <v>400</v>
      </c>
      <c r="F105" s="9">
        <v>4.0499999999999998E-3</v>
      </c>
      <c r="H105" s="7">
        <v>220</v>
      </c>
      <c r="I105" s="7">
        <v>-9.4466368340196197E-4</v>
      </c>
      <c r="L105" s="75">
        <v>178.63236800000001</v>
      </c>
      <c r="M105" s="7">
        <v>-5.4019999999999997E-3</v>
      </c>
    </row>
    <row r="106" spans="2:13">
      <c r="H106" s="7">
        <v>230</v>
      </c>
      <c r="I106" s="7">
        <v>-8.2787531627186476E-4</v>
      </c>
      <c r="L106" s="75">
        <v>202.83091999999999</v>
      </c>
      <c r="M106" s="7">
        <v>-4.3059999999999999E-3</v>
      </c>
    </row>
    <row r="107" spans="2:13">
      <c r="E107" s="288" t="s">
        <v>725</v>
      </c>
      <c r="F107" s="288"/>
      <c r="H107" s="7">
        <v>240</v>
      </c>
      <c r="I107" s="7">
        <v>-7.1355628575106643E-4</v>
      </c>
      <c r="L107" s="75">
        <v>228.037746</v>
      </c>
      <c r="M107" s="7">
        <v>-3.209E-3</v>
      </c>
    </row>
    <row r="108" spans="2:13">
      <c r="E108" s="288"/>
      <c r="F108" s="288"/>
      <c r="H108" s="7">
        <v>250</v>
      </c>
      <c r="I108" s="7">
        <v>-5.9397300118779923E-4</v>
      </c>
      <c r="L108" s="75">
        <v>278.787487</v>
      </c>
      <c r="M108" s="9">
        <v>-7.6790270000000002E-4</v>
      </c>
    </row>
    <row r="109" spans="2:13">
      <c r="E109" s="62" t="s">
        <v>330</v>
      </c>
      <c r="F109" s="62" t="s">
        <v>54</v>
      </c>
      <c r="H109" s="7">
        <v>260</v>
      </c>
      <c r="I109" s="7">
        <v>-4.7158438839079174E-4</v>
      </c>
      <c r="L109" s="75">
        <v>293</v>
      </c>
      <c r="M109" s="9">
        <v>0</v>
      </c>
    </row>
    <row r="110" spans="2:13">
      <c r="E110" s="7">
        <v>80</v>
      </c>
      <c r="F110" s="9">
        <f>0.008-0.0001478*E110+0.0000005458*E110*E110-0.0000000004773*E110*E110*E110</f>
        <v>-5.7525759999999915E-4</v>
      </c>
      <c r="H110" s="7">
        <v>270</v>
      </c>
      <c r="I110" s="7">
        <v>-3.400315952275249E-4</v>
      </c>
    </row>
    <row r="111" spans="2:13">
      <c r="E111" s="7">
        <v>100</v>
      </c>
      <c r="F111" s="9">
        <f t="shared" ref="F111:F118" si="2">0.008-0.0001478*E111+0.0000005458*E111*E111-0.0000000004773*E111*E111*E111</f>
        <v>-1.7992999999999976E-3</v>
      </c>
      <c r="H111" s="7">
        <v>280</v>
      </c>
      <c r="I111" s="7">
        <v>-1.958735036435717E-4</v>
      </c>
    </row>
    <row r="112" spans="2:13">
      <c r="E112" s="7">
        <v>120</v>
      </c>
      <c r="F112" s="9">
        <f t="shared" si="2"/>
        <v>-2.7012543999999981E-3</v>
      </c>
      <c r="H112" s="7">
        <v>290</v>
      </c>
      <c r="I112" s="7">
        <v>-4.4393940267023936E-5</v>
      </c>
    </row>
    <row r="113" spans="5:9">
      <c r="E113" s="7">
        <v>140</v>
      </c>
      <c r="F113" s="9">
        <f t="shared" si="2"/>
        <v>-3.304031199999999E-3</v>
      </c>
      <c r="H113" s="7">
        <v>293</v>
      </c>
      <c r="I113" s="7">
        <v>0</v>
      </c>
    </row>
    <row r="114" spans="5:9">
      <c r="E114" s="7">
        <v>160</v>
      </c>
      <c r="F114" s="9">
        <f t="shared" si="2"/>
        <v>-3.6305407999999979E-3</v>
      </c>
      <c r="H114" s="7">
        <v>300</v>
      </c>
      <c r="I114" s="7">
        <v>1.0293416650588322E-4</v>
      </c>
    </row>
    <row r="115" spans="5:9">
      <c r="E115" s="7">
        <v>180</v>
      </c>
      <c r="F115" s="9">
        <f t="shared" si="2"/>
        <v>-3.7036935999999964E-3</v>
      </c>
      <c r="H115" s="7">
        <v>310</v>
      </c>
      <c r="I115" s="7">
        <v>2.4615230393928192E-4</v>
      </c>
    </row>
    <row r="116" spans="5:9">
      <c r="E116" s="7">
        <v>200</v>
      </c>
      <c r="F116" s="9">
        <f t="shared" si="2"/>
        <v>-3.5463999999999951E-3</v>
      </c>
      <c r="H116" s="7">
        <v>320</v>
      </c>
      <c r="I116" s="7">
        <v>3.8870473208459181E-4</v>
      </c>
    </row>
    <row r="117" spans="5:9">
      <c r="E117" s="7">
        <v>250</v>
      </c>
      <c r="F117" s="9">
        <f t="shared" si="2"/>
        <v>-2.2953124999999918E-3</v>
      </c>
      <c r="H117" s="7">
        <v>330</v>
      </c>
      <c r="I117" s="7">
        <v>5.2364500077891891E-4</v>
      </c>
    </row>
    <row r="118" spans="5:9">
      <c r="E118" s="7">
        <v>293</v>
      </c>
      <c r="F118" s="9">
        <f t="shared" si="2"/>
        <v>-4.549040160999919E-4</v>
      </c>
      <c r="H118" s="7">
        <v>340</v>
      </c>
      <c r="I118" s="7">
        <v>6.6709596824246606E-4</v>
      </c>
    </row>
    <row r="119" spans="5:9">
      <c r="E119" s="7">
        <v>350</v>
      </c>
      <c r="F119" s="9">
        <f>-0.015+0.00003968*E119+0.00000004666*E119*E119-0.00000000003446*E119*E119*E119</f>
        <v>3.1263774999999994E-3</v>
      </c>
      <c r="H119" s="7">
        <v>350</v>
      </c>
      <c r="I119" s="7">
        <v>8.2639815782413364E-4</v>
      </c>
    </row>
    <row r="120" spans="5:9">
      <c r="E120" s="7">
        <v>400</v>
      </c>
      <c r="F120" s="9">
        <f>-0.015+0.00003968*E120+0.00000004666*E120*E120-0.00000000003446*E120*E120*E120</f>
        <v>6.1321600000000002E-3</v>
      </c>
      <c r="H120" s="7">
        <v>360</v>
      </c>
      <c r="I120" s="7">
        <v>9.8578282578222162E-4</v>
      </c>
    </row>
    <row r="121" spans="5:9">
      <c r="H121" s="7">
        <v>370</v>
      </c>
      <c r="I121" s="7">
        <v>1.1375854467337509E-3</v>
      </c>
    </row>
    <row r="122" spans="5:9">
      <c r="H122" s="7">
        <v>380</v>
      </c>
      <c r="I122" s="7">
        <v>1.2989452015626061E-3</v>
      </c>
    </row>
    <row r="123" spans="5:9">
      <c r="H123" s="7">
        <v>390</v>
      </c>
      <c r="I123" s="7">
        <v>1.4578567218125546E-3</v>
      </c>
    </row>
    <row r="124" spans="5:9">
      <c r="H124" s="7">
        <v>400</v>
      </c>
      <c r="I124" s="7">
        <v>1.6191898216471872E-3</v>
      </c>
    </row>
  </sheetData>
  <mergeCells count="11">
    <mergeCell ref="E107:F108"/>
    <mergeCell ref="L91:M91"/>
    <mergeCell ref="O4:Q4"/>
    <mergeCell ref="V59:V68"/>
    <mergeCell ref="C28:R28"/>
    <mergeCell ref="W77:W86"/>
    <mergeCell ref="C60:S60"/>
    <mergeCell ref="B45:E45"/>
    <mergeCell ref="B75:H75"/>
    <mergeCell ref="I75:L75"/>
    <mergeCell ref="E92:F92"/>
  </mergeCells>
  <phoneticPr fontId="0" type="noConversion"/>
  <hyperlinks>
    <hyperlink ref="C4" r:id="rId1"/>
    <hyperlink ref="F4" r:id="rId2"/>
    <hyperlink ref="C28:R28" r:id="rId3" display="(L(t)-L(293))/L(293)=(a+bT+cT^2+dT^3+eT^4)/1e5 if T &gt;= Tlow; = f if T &lt; Tlow; (Ref 72)"/>
    <hyperlink ref="S28" r:id="rId4"/>
    <hyperlink ref="B45:E45" r:id="rId5" display="(L(t)-L(293))/L(293)=a+bt+ct^2+dt^3+et^4 (Ref 82)"/>
    <hyperlink ref="C14" r:id="rId6"/>
    <hyperlink ref="F14" r:id="rId7" display="(L(t)-L(293))/L(293)=(a+bT+cT^2+dT^3+eT^4)/1e5 if T &gt;= Tlow; = f if T &lt; Tlow; (Ref 72)"/>
    <hyperlink ref="I4" r:id="rId8"/>
    <hyperlink ref="L4" r:id="rId9"/>
    <hyperlink ref="O4:Q4" r:id="rId10" display="Poissons Ratio (ref 100)"/>
    <hyperlink ref="O12" r:id="rId11"/>
    <hyperlink ref="I92" r:id="rId12"/>
  </hyperlinks>
  <pageMargins left="0.75" right="0.75" top="1" bottom="1" header="0.5" footer="0.5"/>
  <pageSetup paperSize="17" scale="76" fitToHeight="20" orientation="landscape" r:id="rId13"/>
  <headerFooter alignWithMargins="0"/>
  <drawing r:id="rId14"/>
</worksheet>
</file>

<file path=xl/worksheets/sheet9.xml><?xml version="1.0" encoding="utf-8"?>
<worksheet xmlns="http://schemas.openxmlformats.org/spreadsheetml/2006/main" xmlns:r="http://schemas.openxmlformats.org/officeDocument/2006/relationships">
  <dimension ref="B2:Y167"/>
  <sheetViews>
    <sheetView topLeftCell="F22" workbookViewId="0"/>
  </sheetViews>
  <sheetFormatPr defaultRowHeight="12.75"/>
  <cols>
    <col min="1" max="1" width="1.5703125" customWidth="1"/>
    <col min="2" max="2" width="9.42578125" customWidth="1"/>
    <col min="3" max="3" width="13.42578125" bestFit="1" customWidth="1"/>
    <col min="4" max="4" width="15" bestFit="1" customWidth="1"/>
    <col min="5" max="5" width="10.140625" bestFit="1" customWidth="1"/>
    <col min="6" max="6" width="10.7109375" bestFit="1" customWidth="1"/>
    <col min="7" max="7" width="9" bestFit="1" customWidth="1"/>
    <col min="8" max="9" width="9" customWidth="1"/>
    <col min="12" max="12" width="10.140625" customWidth="1"/>
    <col min="14" max="14" width="10.85546875" customWidth="1"/>
  </cols>
  <sheetData>
    <row r="2" spans="2:18" ht="38.25">
      <c r="C2" s="269" t="s">
        <v>465</v>
      </c>
      <c r="D2" s="269"/>
      <c r="E2" s="269"/>
      <c r="F2" s="269"/>
      <c r="G2" s="269"/>
      <c r="H2" s="269"/>
      <c r="I2" s="269"/>
      <c r="K2" s="62" t="s">
        <v>330</v>
      </c>
      <c r="L2" s="91" t="s">
        <v>493</v>
      </c>
      <c r="N2" s="62" t="s">
        <v>330</v>
      </c>
      <c r="O2" s="91" t="s">
        <v>494</v>
      </c>
      <c r="Q2" s="62" t="s">
        <v>330</v>
      </c>
      <c r="R2" s="91" t="s">
        <v>495</v>
      </c>
    </row>
    <row r="3" spans="2:18">
      <c r="B3" s="62" t="s">
        <v>330</v>
      </c>
      <c r="C3" s="62" t="s">
        <v>331</v>
      </c>
      <c r="D3" s="62" t="s">
        <v>332</v>
      </c>
      <c r="E3" s="62" t="s">
        <v>333</v>
      </c>
      <c r="F3" s="62" t="s">
        <v>318</v>
      </c>
      <c r="G3" s="62" t="s">
        <v>313</v>
      </c>
      <c r="H3" s="62" t="s">
        <v>334</v>
      </c>
      <c r="I3" s="62" t="s">
        <v>317</v>
      </c>
      <c r="K3" s="7">
        <v>80</v>
      </c>
      <c r="L3" s="9">
        <v>106.8256490995058</v>
      </c>
      <c r="N3" s="7">
        <v>90</v>
      </c>
      <c r="O3" s="9">
        <v>110.27564030623446</v>
      </c>
      <c r="Q3" s="7">
        <v>300</v>
      </c>
      <c r="R3" s="9">
        <v>646.39932480211689</v>
      </c>
    </row>
    <row r="4" spans="2:18">
      <c r="B4" s="7">
        <v>4</v>
      </c>
      <c r="C4" s="9">
        <v>0.1216</v>
      </c>
      <c r="D4" s="9">
        <v>0.29380000000000001</v>
      </c>
      <c r="E4" s="9">
        <v>0.78269999999999995</v>
      </c>
      <c r="F4" s="9">
        <v>1.554</v>
      </c>
      <c r="G4" s="9">
        <v>3.0859999999999999</v>
      </c>
      <c r="H4" s="9">
        <v>3.0859999999999999</v>
      </c>
      <c r="I4" s="9">
        <v>1.1579999999999999</v>
      </c>
      <c r="K4" s="7">
        <v>100</v>
      </c>
      <c r="L4" s="9">
        <v>172.98542246497388</v>
      </c>
      <c r="M4" s="149"/>
      <c r="N4" s="7">
        <v>100</v>
      </c>
      <c r="O4" s="9">
        <v>140.77222224933027</v>
      </c>
      <c r="Q4" s="7">
        <v>350</v>
      </c>
      <c r="R4" s="9">
        <v>747.97839822988669</v>
      </c>
    </row>
    <row r="5" spans="2:18">
      <c r="B5" s="7">
        <v>10</v>
      </c>
      <c r="C5" s="9">
        <v>0.95220000000000005</v>
      </c>
      <c r="D5" s="7">
        <v>1.714</v>
      </c>
      <c r="E5" s="9">
        <v>13.42</v>
      </c>
      <c r="F5" s="9">
        <v>21.9</v>
      </c>
      <c r="G5" s="7">
        <v>5.0359999999999996</v>
      </c>
      <c r="H5" s="9">
        <v>16.32</v>
      </c>
      <c r="I5" s="9">
        <v>19.86</v>
      </c>
      <c r="K5" s="7">
        <v>110</v>
      </c>
      <c r="L5" s="9">
        <v>207.06019295771495</v>
      </c>
      <c r="M5" s="149"/>
      <c r="N5" s="7">
        <v>150</v>
      </c>
      <c r="O5" s="9">
        <v>306.67362801977151</v>
      </c>
      <c r="Q5" s="7">
        <v>400</v>
      </c>
      <c r="R5" s="9">
        <v>826.24774743949456</v>
      </c>
    </row>
    <row r="6" spans="2:18">
      <c r="B6" s="7">
        <v>40</v>
      </c>
      <c r="C6" s="9">
        <v>43.48</v>
      </c>
      <c r="D6" s="9">
        <v>95.22</v>
      </c>
      <c r="E6" s="9">
        <v>189.1</v>
      </c>
      <c r="F6" s="9">
        <v>308.60000000000002</v>
      </c>
      <c r="G6" s="9">
        <v>43.48</v>
      </c>
      <c r="H6" s="9">
        <v>121.6</v>
      </c>
      <c r="I6" s="9">
        <v>189.1</v>
      </c>
      <c r="K6" s="7">
        <v>120</v>
      </c>
      <c r="L6" s="9">
        <v>242.25420773671397</v>
      </c>
      <c r="M6" s="149"/>
      <c r="N6" s="7">
        <v>200</v>
      </c>
      <c r="O6" s="9">
        <v>475.7466783122947</v>
      </c>
    </row>
    <row r="7" spans="2:18">
      <c r="B7" s="7">
        <v>100</v>
      </c>
      <c r="C7" s="9">
        <v>253.7</v>
      </c>
      <c r="D7" s="9">
        <v>528.9</v>
      </c>
      <c r="E7" s="9">
        <v>414</v>
      </c>
      <c r="F7" s="9">
        <v>745.3</v>
      </c>
      <c r="G7" s="9">
        <v>279.8</v>
      </c>
      <c r="H7" s="9">
        <v>340.3</v>
      </c>
      <c r="I7" s="9">
        <v>414</v>
      </c>
      <c r="K7" s="7">
        <v>130</v>
      </c>
      <c r="L7" s="9">
        <v>277.82130394446563</v>
      </c>
      <c r="M7" s="149"/>
      <c r="N7" s="7">
        <v>250</v>
      </c>
      <c r="O7" s="9">
        <v>624.08205288351269</v>
      </c>
    </row>
    <row r="8" spans="2:18">
      <c r="B8" s="7">
        <v>200</v>
      </c>
      <c r="C8" s="9">
        <v>357.4</v>
      </c>
      <c r="D8" s="9">
        <v>863.3</v>
      </c>
      <c r="E8" s="9">
        <v>675.8</v>
      </c>
      <c r="F8" s="9">
        <v>1216</v>
      </c>
      <c r="G8" s="9">
        <v>414</v>
      </c>
      <c r="H8" s="9">
        <v>745.3</v>
      </c>
      <c r="I8" s="9">
        <v>745.3</v>
      </c>
      <c r="K8" s="7">
        <v>140</v>
      </c>
      <c r="L8" s="9">
        <v>313.13967919971549</v>
      </c>
      <c r="M8" s="149"/>
      <c r="N8" s="7">
        <v>300</v>
      </c>
      <c r="O8" s="9">
        <v>747.5322165891647</v>
      </c>
    </row>
    <row r="9" spans="2:18">
      <c r="B9" s="7">
        <v>293</v>
      </c>
      <c r="C9" s="9">
        <v>394.2</v>
      </c>
      <c r="D9" s="9">
        <v>952.2</v>
      </c>
      <c r="E9" s="9">
        <v>782.7</v>
      </c>
      <c r="F9" s="9">
        <v>1714</v>
      </c>
      <c r="G9" s="9">
        <v>456.6</v>
      </c>
      <c r="H9" s="9">
        <v>952.2</v>
      </c>
      <c r="I9" s="9">
        <v>952.2</v>
      </c>
      <c r="K9" s="7">
        <v>150</v>
      </c>
      <c r="L9" s="9">
        <v>348.20933350246361</v>
      </c>
      <c r="M9" s="149"/>
      <c r="N9" s="7">
        <v>350</v>
      </c>
      <c r="O9" s="9">
        <v>845.60922411816068</v>
      </c>
    </row>
    <row r="10" spans="2:18">
      <c r="K10" s="7">
        <v>200</v>
      </c>
      <c r="L10" s="9">
        <v>512.36516215362508</v>
      </c>
      <c r="M10" s="149"/>
      <c r="N10" s="7">
        <v>400</v>
      </c>
      <c r="O10" s="9">
        <v>919.28896609268031</v>
      </c>
    </row>
    <row r="11" spans="2:18">
      <c r="K11" s="7">
        <v>250</v>
      </c>
      <c r="L11" s="9">
        <v>651.89761650711228</v>
      </c>
    </row>
    <row r="12" spans="2:18">
      <c r="K12" s="7">
        <v>300</v>
      </c>
      <c r="L12" s="9">
        <v>767.42849894417964</v>
      </c>
    </row>
    <row r="13" spans="2:18">
      <c r="K13" s="7">
        <v>350</v>
      </c>
      <c r="L13" s="9">
        <v>858.83344898857638</v>
      </c>
    </row>
    <row r="14" spans="2:18">
      <c r="K14" s="7">
        <v>400</v>
      </c>
      <c r="L14" s="9">
        <v>933.20101378660252</v>
      </c>
    </row>
    <row r="15" spans="2:18">
      <c r="B15" s="270" t="s">
        <v>464</v>
      </c>
      <c r="C15" s="270"/>
      <c r="E15" s="270" t="s">
        <v>556</v>
      </c>
      <c r="F15" s="270"/>
      <c r="H15" s="270" t="s">
        <v>573</v>
      </c>
      <c r="I15" s="270"/>
      <c r="M15" s="270" t="s">
        <v>574</v>
      </c>
      <c r="N15" s="270"/>
      <c r="P15" s="270" t="s">
        <v>671</v>
      </c>
      <c r="Q15" s="270"/>
    </row>
    <row r="16" spans="2:18" ht="38.25">
      <c r="B16" s="62" t="s">
        <v>330</v>
      </c>
      <c r="C16" s="91" t="s">
        <v>410</v>
      </c>
      <c r="E16" s="62" t="s">
        <v>330</v>
      </c>
      <c r="F16" s="91" t="s">
        <v>410</v>
      </c>
      <c r="H16" s="62" t="s">
        <v>330</v>
      </c>
      <c r="I16" s="91" t="s">
        <v>410</v>
      </c>
      <c r="M16" s="62" t="s">
        <v>330</v>
      </c>
      <c r="N16" s="91" t="s">
        <v>410</v>
      </c>
      <c r="P16" s="62" t="s">
        <v>330</v>
      </c>
      <c r="Q16" s="91" t="s">
        <v>410</v>
      </c>
    </row>
    <row r="17" spans="2:22">
      <c r="B17" s="7">
        <f>273.15-140</f>
        <v>133.14999999999998</v>
      </c>
      <c r="C17" s="7">
        <v>175</v>
      </c>
      <c r="E17" s="7">
        <v>138</v>
      </c>
      <c r="F17" s="7">
        <v>285</v>
      </c>
      <c r="H17" s="7">
        <v>173</v>
      </c>
      <c r="I17" s="7">
        <v>1125.0721930732957</v>
      </c>
      <c r="M17" s="7">
        <v>173</v>
      </c>
      <c r="N17" s="7">
        <v>1012.4657394906469</v>
      </c>
      <c r="P17" s="7">
        <v>293</v>
      </c>
      <c r="Q17" s="7">
        <v>800</v>
      </c>
    </row>
    <row r="18" spans="2:22">
      <c r="B18" s="7">
        <f>273.15-100</f>
        <v>173.14999999999998</v>
      </c>
      <c r="C18" s="7">
        <v>301</v>
      </c>
      <c r="E18" s="7">
        <v>208</v>
      </c>
      <c r="F18" s="7">
        <v>474</v>
      </c>
      <c r="H18" s="7">
        <v>217</v>
      </c>
      <c r="I18" s="7">
        <v>672.90958770850295</v>
      </c>
      <c r="M18" s="7">
        <v>217</v>
      </c>
      <c r="N18" s="7">
        <v>655.6299551203706</v>
      </c>
      <c r="P18" s="7">
        <v>1473</v>
      </c>
      <c r="Q18" s="7">
        <v>1200</v>
      </c>
    </row>
    <row r="19" spans="2:22">
      <c r="B19" s="7">
        <f>273.15</f>
        <v>273.14999999999998</v>
      </c>
      <c r="C19" s="7">
        <v>574</v>
      </c>
      <c r="E19" s="7">
        <v>263</v>
      </c>
      <c r="F19" s="7">
        <v>615</v>
      </c>
      <c r="H19" s="7">
        <v>271</v>
      </c>
      <c r="I19" s="7">
        <v>636.73173605775537</v>
      </c>
      <c r="M19" s="7">
        <v>271</v>
      </c>
      <c r="N19" s="7">
        <v>642.43909565217973</v>
      </c>
    </row>
    <row r="20" spans="2:22">
      <c r="B20" s="7">
        <f>273.15+200</f>
        <v>473.15</v>
      </c>
      <c r="C20" s="7">
        <v>952</v>
      </c>
      <c r="E20" s="7">
        <v>298</v>
      </c>
      <c r="F20" s="7">
        <v>680</v>
      </c>
      <c r="H20" s="7">
        <v>320</v>
      </c>
      <c r="I20" s="7">
        <v>708.19889744389036</v>
      </c>
      <c r="M20" s="7">
        <v>320</v>
      </c>
      <c r="N20" s="7">
        <v>712.34632835221782</v>
      </c>
    </row>
    <row r="21" spans="2:22">
      <c r="H21" s="7">
        <v>407</v>
      </c>
      <c r="I21" s="7">
        <v>849.2296670902814</v>
      </c>
      <c r="M21" s="7">
        <v>406</v>
      </c>
      <c r="N21" s="7">
        <v>840.29738018436944</v>
      </c>
    </row>
    <row r="22" spans="2:22">
      <c r="H22" s="7">
        <v>479</v>
      </c>
      <c r="I22" s="7">
        <v>941.45555889560046</v>
      </c>
      <c r="M22" s="7">
        <v>477</v>
      </c>
      <c r="N22" s="7">
        <v>922.65291546690094</v>
      </c>
    </row>
    <row r="23" spans="2:22">
      <c r="H23" s="7">
        <v>579</v>
      </c>
      <c r="I23" s="7">
        <v>1034.415328840334</v>
      </c>
      <c r="M23" s="7">
        <v>576</v>
      </c>
      <c r="N23" s="7">
        <v>1005.964505485411</v>
      </c>
    </row>
    <row r="24" spans="2:22">
      <c r="H24" s="7">
        <v>680</v>
      </c>
      <c r="I24" s="7">
        <v>1099.7026968666264</v>
      </c>
      <c r="M24" s="7">
        <v>678</v>
      </c>
      <c r="N24" s="7">
        <v>1065.6995489292387</v>
      </c>
    </row>
    <row r="25" spans="2:22">
      <c r="H25" s="7">
        <v>781</v>
      </c>
      <c r="I25" s="7">
        <v>1146.7409671346395</v>
      </c>
      <c r="M25" s="7">
        <v>779</v>
      </c>
      <c r="N25" s="7">
        <v>1108.4240692766227</v>
      </c>
    </row>
    <row r="30" spans="2:22">
      <c r="C30" s="270" t="s">
        <v>467</v>
      </c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 t="s">
        <v>477</v>
      </c>
      <c r="V30" s="270"/>
    </row>
    <row r="31" spans="2:22" ht="38.25">
      <c r="B31" s="62" t="s">
        <v>337</v>
      </c>
      <c r="C31" s="91" t="s">
        <v>338</v>
      </c>
      <c r="D31" s="62" t="s">
        <v>351</v>
      </c>
      <c r="E31" s="62" t="s">
        <v>468</v>
      </c>
      <c r="F31" s="91" t="s">
        <v>354</v>
      </c>
      <c r="G31" s="127" t="s">
        <v>469</v>
      </c>
      <c r="H31" s="79" t="s">
        <v>355</v>
      </c>
      <c r="I31" s="79" t="s">
        <v>355</v>
      </c>
      <c r="J31" s="79" t="s">
        <v>356</v>
      </c>
      <c r="K31" s="79" t="s">
        <v>356</v>
      </c>
      <c r="L31" s="91" t="s">
        <v>4</v>
      </c>
      <c r="M31" s="62" t="s">
        <v>317</v>
      </c>
      <c r="N31" s="91" t="s">
        <v>360</v>
      </c>
      <c r="O31" s="91" t="s">
        <v>361</v>
      </c>
      <c r="P31" s="91" t="s">
        <v>362</v>
      </c>
      <c r="Q31" s="91" t="s">
        <v>364</v>
      </c>
      <c r="R31" s="92" t="s">
        <v>470</v>
      </c>
      <c r="S31" s="62" t="s">
        <v>368</v>
      </c>
      <c r="T31" s="78" t="s">
        <v>471</v>
      </c>
      <c r="U31" s="62" t="s">
        <v>475</v>
      </c>
      <c r="V31" s="62" t="s">
        <v>317</v>
      </c>
    </row>
    <row r="32" spans="2:22">
      <c r="B32" s="62" t="s">
        <v>339</v>
      </c>
      <c r="C32" s="120">
        <v>46.646700000000003</v>
      </c>
      <c r="D32" s="120">
        <v>22.0061</v>
      </c>
      <c r="E32" s="120">
        <v>-351.51</v>
      </c>
      <c r="F32" s="126">
        <v>-1.9184399999999999</v>
      </c>
      <c r="G32" s="120">
        <v>46.646700000000003</v>
      </c>
      <c r="H32" s="120">
        <v>20.693999999999999</v>
      </c>
      <c r="I32" s="120">
        <v>-2755.63</v>
      </c>
      <c r="J32" s="120">
        <v>12.2486</v>
      </c>
      <c r="K32" s="120">
        <v>-1879.4639999999999</v>
      </c>
      <c r="L32" s="120">
        <v>-526.84477000000004</v>
      </c>
      <c r="M32" s="120">
        <v>31.8825</v>
      </c>
      <c r="N32" s="120">
        <v>-5.2929000000000004</v>
      </c>
      <c r="O32" s="120">
        <v>-1.3684000000000001</v>
      </c>
      <c r="P32" s="120">
        <v>-2.4083000000000001</v>
      </c>
      <c r="Q32" s="120">
        <v>28.08</v>
      </c>
      <c r="R32" s="120">
        <v>15503.108</v>
      </c>
      <c r="S32" s="120">
        <v>-1.6135538</v>
      </c>
      <c r="T32" s="136">
        <v>-2.4259350999999998</v>
      </c>
      <c r="U32" s="90">
        <v>-2.4083000000000001</v>
      </c>
      <c r="V32" s="90">
        <v>31.8825</v>
      </c>
    </row>
    <row r="33" spans="2:22">
      <c r="B33" s="62" t="s">
        <v>340</v>
      </c>
      <c r="C33" s="120">
        <v>-314.29199999999997</v>
      </c>
      <c r="D33" s="120">
        <v>-127.5528</v>
      </c>
      <c r="E33" s="120">
        <v>3123.6950000000002</v>
      </c>
      <c r="F33" s="120">
        <v>-0.15973000000000001</v>
      </c>
      <c r="G33" s="120">
        <v>-314.29199999999997</v>
      </c>
      <c r="H33" s="120">
        <v>-171.00700000000001</v>
      </c>
      <c r="I33" s="120">
        <v>9704.8310000000001</v>
      </c>
      <c r="J33" s="120">
        <v>-80.642200000000003</v>
      </c>
      <c r="K33" s="120">
        <v>3643.1979999999999</v>
      </c>
      <c r="L33" s="120">
        <v>2755.4105</v>
      </c>
      <c r="M33" s="120">
        <v>-166.51900000000001</v>
      </c>
      <c r="N33" s="120">
        <v>25.300999999999998</v>
      </c>
      <c r="O33" s="120">
        <v>0.65891999999999995</v>
      </c>
      <c r="P33" s="120">
        <v>7.6006</v>
      </c>
      <c r="Q33" s="120">
        <v>-228.23</v>
      </c>
      <c r="R33" s="120">
        <v>-37280.377</v>
      </c>
      <c r="S33" s="120">
        <v>0.95823583999999995</v>
      </c>
      <c r="T33" s="136">
        <v>12.613611000000001</v>
      </c>
      <c r="U33" s="90">
        <v>7.6006</v>
      </c>
      <c r="V33" s="90">
        <v>-166.51900000000001</v>
      </c>
    </row>
    <row r="34" spans="2:22">
      <c r="B34" s="62" t="s">
        <v>349</v>
      </c>
      <c r="C34" s="120">
        <v>866.66200000000003</v>
      </c>
      <c r="D34" s="120">
        <v>303.64699999999999</v>
      </c>
      <c r="E34" s="120">
        <v>-12017.28</v>
      </c>
      <c r="F34" s="120">
        <v>8.6101299999999998</v>
      </c>
      <c r="G34" s="120">
        <v>866.66200000000003</v>
      </c>
      <c r="H34" s="120">
        <v>600.62559999999996</v>
      </c>
      <c r="I34" s="120">
        <v>-14618.36</v>
      </c>
      <c r="J34" s="120">
        <v>218.74299999999999</v>
      </c>
      <c r="K34" s="120">
        <v>76.701250000000002</v>
      </c>
      <c r="L34" s="120">
        <v>-6209.8985000000002</v>
      </c>
      <c r="M34" s="120">
        <v>352.01900000000001</v>
      </c>
      <c r="N34" s="120">
        <v>-54.874000000000002</v>
      </c>
      <c r="O34" s="120">
        <v>2.8719000000000001</v>
      </c>
      <c r="P34" s="120">
        <v>-8.2981999999999996</v>
      </c>
      <c r="Q34" s="120">
        <v>777.58699999999999</v>
      </c>
      <c r="R34" s="120">
        <v>26788.417000000001</v>
      </c>
      <c r="S34" s="120">
        <v>1.4317770000000001</v>
      </c>
      <c r="T34" s="136">
        <v>-46.472892999999999</v>
      </c>
      <c r="U34" s="90">
        <v>-8.2981999999999996</v>
      </c>
      <c r="V34" s="90">
        <v>352.01900000000001</v>
      </c>
    </row>
    <row r="35" spans="2:22">
      <c r="B35" s="62" t="s">
        <v>341</v>
      </c>
      <c r="C35" s="120">
        <v>-1298.3</v>
      </c>
      <c r="D35" s="120">
        <v>-381.00979999999998</v>
      </c>
      <c r="E35" s="120">
        <v>26143.99</v>
      </c>
      <c r="F35" s="120">
        <v>-18.995999999999999</v>
      </c>
      <c r="G35" s="120">
        <v>-1298.3</v>
      </c>
      <c r="H35" s="120">
        <v>-1162.748</v>
      </c>
      <c r="I35" s="120">
        <v>12202.74</v>
      </c>
      <c r="J35" s="120">
        <v>-308.85399999999998</v>
      </c>
      <c r="K35" s="120">
        <v>-6176.0280000000002</v>
      </c>
      <c r="L35" s="120">
        <v>7859.2257</v>
      </c>
      <c r="M35" s="120">
        <v>-393.44200000000001</v>
      </c>
      <c r="N35" s="120">
        <v>71.061000000000007</v>
      </c>
      <c r="O35" s="120">
        <v>0.42651</v>
      </c>
      <c r="P35" s="120">
        <v>7.3300999999999998</v>
      </c>
      <c r="Q35" s="120">
        <v>-1448.423</v>
      </c>
      <c r="R35" s="120">
        <v>7010.0877</v>
      </c>
      <c r="S35" s="120">
        <v>-3.5963989000000001</v>
      </c>
      <c r="T35" s="136">
        <v>104.64717</v>
      </c>
      <c r="U35" s="90">
        <v>7.3300999999999998</v>
      </c>
      <c r="V35" s="90">
        <v>-393.44200000000001</v>
      </c>
    </row>
    <row r="36" spans="2:22">
      <c r="B36" s="62" t="s">
        <v>342</v>
      </c>
      <c r="C36" s="120">
        <v>1162.27</v>
      </c>
      <c r="D36" s="120">
        <v>274.03280000000001</v>
      </c>
      <c r="E36" s="120">
        <v>-35176.33</v>
      </c>
      <c r="F36" s="120">
        <v>21.966100000000001</v>
      </c>
      <c r="G36" s="120">
        <v>1162.27</v>
      </c>
      <c r="H36" s="120">
        <v>1361.931</v>
      </c>
      <c r="I36" s="120">
        <v>-6092.3389999999999</v>
      </c>
      <c r="J36" s="120">
        <v>239.52959999999999</v>
      </c>
      <c r="K36" s="120">
        <v>7437.6247000000003</v>
      </c>
      <c r="L36" s="120">
        <v>-6106.2094999999999</v>
      </c>
      <c r="M36" s="120">
        <v>259.98099999999999</v>
      </c>
      <c r="N36" s="120">
        <v>-52.235999999999997</v>
      </c>
      <c r="O36" s="120">
        <v>-3.0087999999999999</v>
      </c>
      <c r="P36" s="120">
        <v>-4.2385999999999999</v>
      </c>
      <c r="Q36" s="120">
        <v>1596.567</v>
      </c>
      <c r="R36" s="120">
        <v>-22731.651000000002</v>
      </c>
      <c r="S36" s="120">
        <v>5.1299735000000002</v>
      </c>
      <c r="T36" s="136">
        <v>-127.1863</v>
      </c>
      <c r="U36" s="90">
        <v>-4.2385999999999999</v>
      </c>
      <c r="V36" s="90">
        <v>259.98099999999999</v>
      </c>
    </row>
    <row r="37" spans="2:22">
      <c r="B37" s="62" t="s">
        <v>343</v>
      </c>
      <c r="C37" s="120">
        <v>-637.79499999999996</v>
      </c>
      <c r="D37" s="120">
        <v>-112.9212</v>
      </c>
      <c r="E37" s="120">
        <v>29981.75</v>
      </c>
      <c r="F37" s="120">
        <v>-12.732799999999999</v>
      </c>
      <c r="G37" s="120">
        <v>-637.79499999999996</v>
      </c>
      <c r="H37" s="120">
        <v>-986.29340000000002</v>
      </c>
      <c r="I37" s="120">
        <v>1818.5550000000001</v>
      </c>
      <c r="J37" s="120">
        <v>-89.998199999999997</v>
      </c>
      <c r="K37" s="120">
        <v>-4305.7217000000001</v>
      </c>
      <c r="L37" s="120">
        <v>2982.9958000000001</v>
      </c>
      <c r="M37" s="120">
        <v>-104.614</v>
      </c>
      <c r="N37" s="120">
        <v>21.648</v>
      </c>
      <c r="O37" s="120">
        <v>1.9558</v>
      </c>
      <c r="P37" s="120">
        <v>1.4294</v>
      </c>
      <c r="Q37" s="120">
        <v>-1040.2940000000001</v>
      </c>
      <c r="R37" s="120">
        <v>15386.526</v>
      </c>
      <c r="S37" s="120">
        <v>-2.4186451999999998</v>
      </c>
      <c r="T37" s="136">
        <v>88.805611999999996</v>
      </c>
      <c r="U37" s="90">
        <v>1.4294</v>
      </c>
      <c r="V37" s="90">
        <v>-104.614</v>
      </c>
    </row>
    <row r="38" spans="2:22">
      <c r="B38" s="62" t="s">
        <v>344</v>
      </c>
      <c r="C38" s="120">
        <v>210.351</v>
      </c>
      <c r="D38" s="120">
        <v>24.7593</v>
      </c>
      <c r="E38" s="120">
        <v>-15812.78</v>
      </c>
      <c r="F38" s="120">
        <v>3.5432199999999998</v>
      </c>
      <c r="G38" s="120">
        <v>210.351</v>
      </c>
      <c r="H38" s="120">
        <v>430.09300000000002</v>
      </c>
      <c r="I38" s="120">
        <v>-300.45800000000003</v>
      </c>
      <c r="J38" s="120">
        <v>3.1531500000000001</v>
      </c>
      <c r="K38" s="120">
        <v>1382.4627</v>
      </c>
      <c r="L38" s="120">
        <v>-894.99967000000004</v>
      </c>
      <c r="M38" s="120">
        <v>24.992699999999999</v>
      </c>
      <c r="N38" s="120">
        <v>-4.7317</v>
      </c>
      <c r="O38" s="120">
        <v>-0.51998</v>
      </c>
      <c r="P38" s="120">
        <v>-0.24396000000000001</v>
      </c>
      <c r="Q38" s="120">
        <v>371.21249999999998</v>
      </c>
      <c r="R38" s="120">
        <v>-5175.7968000000001</v>
      </c>
      <c r="S38" s="120">
        <v>-0.12560841</v>
      </c>
      <c r="T38" s="136">
        <v>-35.915624999999999</v>
      </c>
      <c r="U38" s="90">
        <v>-0.24396000000000001</v>
      </c>
      <c r="V38" s="90">
        <v>24.992699999999999</v>
      </c>
    </row>
    <row r="39" spans="2:22">
      <c r="B39" s="62" t="s">
        <v>345</v>
      </c>
      <c r="C39" s="120">
        <v>-38.309399999999997</v>
      </c>
      <c r="D39" s="120">
        <v>-2.2391529999999999</v>
      </c>
      <c r="E39" s="120">
        <v>4719.6400000000003</v>
      </c>
      <c r="F39" s="120">
        <v>-0.37969999999999998</v>
      </c>
      <c r="G39" s="120">
        <v>-38.309399999999997</v>
      </c>
      <c r="H39" s="120">
        <v>-102.85</v>
      </c>
      <c r="I39" s="120">
        <v>21.194199999999999</v>
      </c>
      <c r="J39" s="120">
        <v>8.4499600000000008</v>
      </c>
      <c r="K39" s="120">
        <v>-237.22703999999999</v>
      </c>
      <c r="L39" s="120">
        <v>150.85256000000001</v>
      </c>
      <c r="M39" s="120">
        <v>-3.2097199999999999</v>
      </c>
      <c r="N39" s="120">
        <v>0.42518</v>
      </c>
      <c r="O39" s="120">
        <v>5.1574000000000002E-2</v>
      </c>
      <c r="P39" s="120">
        <v>1.5236E-2</v>
      </c>
      <c r="Q39" s="120">
        <v>-56.003999999999998</v>
      </c>
      <c r="R39" s="120">
        <v>896.97274000000004</v>
      </c>
      <c r="S39" s="120">
        <v>0.34342393999999998</v>
      </c>
      <c r="T39" s="136">
        <v>7.8307988999999996</v>
      </c>
      <c r="U39" s="90">
        <v>1.5236E-2</v>
      </c>
      <c r="V39" s="90">
        <v>-3.2079200000000001</v>
      </c>
    </row>
    <row r="40" spans="2:22">
      <c r="B40" s="62" t="s">
        <v>346</v>
      </c>
      <c r="C40" s="128">
        <v>2.9634399999999999</v>
      </c>
      <c r="D40" s="128">
        <v>0</v>
      </c>
      <c r="E40" s="128">
        <v>-610.51499999999999</v>
      </c>
      <c r="F40" s="128">
        <v>0</v>
      </c>
      <c r="G40" s="128">
        <v>2.9634399999999999</v>
      </c>
      <c r="H40" s="128">
        <v>10.275</v>
      </c>
      <c r="I40" s="128">
        <v>0</v>
      </c>
      <c r="J40" s="128">
        <v>-1.91368</v>
      </c>
      <c r="K40" s="128">
        <v>17.052620000000001</v>
      </c>
      <c r="L40" s="128">
        <v>-10.943614999999999</v>
      </c>
      <c r="M40" s="128">
        <v>0.16503200000000001</v>
      </c>
      <c r="N40" s="128">
        <v>0</v>
      </c>
      <c r="O40" s="128">
        <v>0</v>
      </c>
      <c r="P40" s="128">
        <v>0</v>
      </c>
      <c r="Q40" s="128">
        <v>0</v>
      </c>
      <c r="R40" s="128">
        <v>-64.055865999999995</v>
      </c>
      <c r="S40" s="128">
        <v>-6.1981790000000002E-2</v>
      </c>
      <c r="T40" s="137">
        <v>-0.71218930999999996</v>
      </c>
      <c r="U40" s="90">
        <v>0</v>
      </c>
      <c r="V40" s="90">
        <v>0.16503200000000001</v>
      </c>
    </row>
    <row r="41" spans="2:22">
      <c r="B41" s="62" t="s">
        <v>347</v>
      </c>
      <c r="C41" s="90">
        <v>4</v>
      </c>
      <c r="D41" s="90">
        <v>4</v>
      </c>
      <c r="E41" s="90">
        <v>4</v>
      </c>
      <c r="F41" s="90">
        <v>4</v>
      </c>
      <c r="G41" s="90">
        <v>4</v>
      </c>
      <c r="H41" s="90">
        <v>4</v>
      </c>
      <c r="I41" s="90">
        <v>47</v>
      </c>
      <c r="J41" s="90">
        <v>4</v>
      </c>
      <c r="K41" s="90">
        <v>50</v>
      </c>
      <c r="L41" s="90">
        <v>14</v>
      </c>
      <c r="M41" s="90">
        <v>4</v>
      </c>
      <c r="N41" s="90">
        <v>4</v>
      </c>
      <c r="O41" s="90">
        <v>4</v>
      </c>
      <c r="P41" s="90">
        <v>4</v>
      </c>
      <c r="Q41" s="90">
        <v>4</v>
      </c>
      <c r="R41" s="90">
        <v>55</v>
      </c>
      <c r="S41" s="90">
        <v>1</v>
      </c>
      <c r="T41" s="138">
        <v>4</v>
      </c>
      <c r="U41" s="90">
        <v>3</v>
      </c>
      <c r="V41" s="90">
        <v>3</v>
      </c>
    </row>
    <row r="42" spans="2:22">
      <c r="B42" s="62" t="s">
        <v>348</v>
      </c>
      <c r="C42" s="90">
        <v>300</v>
      </c>
      <c r="D42" s="90">
        <v>300</v>
      </c>
      <c r="E42" s="90">
        <v>23</v>
      </c>
      <c r="F42" s="90">
        <v>300</v>
      </c>
      <c r="G42" s="90">
        <v>300</v>
      </c>
      <c r="H42" s="90">
        <v>47</v>
      </c>
      <c r="I42" s="90">
        <v>300</v>
      </c>
      <c r="J42" s="90">
        <v>50</v>
      </c>
      <c r="K42" s="90">
        <v>300</v>
      </c>
      <c r="L42" s="90">
        <v>284</v>
      </c>
      <c r="M42" s="90">
        <v>300</v>
      </c>
      <c r="N42" s="90">
        <v>300</v>
      </c>
      <c r="O42" s="90">
        <v>300</v>
      </c>
      <c r="P42" s="90">
        <v>300</v>
      </c>
      <c r="Q42" s="90">
        <v>27</v>
      </c>
      <c r="R42" s="90">
        <v>300</v>
      </c>
      <c r="S42" s="90">
        <v>295</v>
      </c>
      <c r="T42" s="138">
        <v>295</v>
      </c>
      <c r="U42" s="90">
        <v>300</v>
      </c>
      <c r="V42" s="90">
        <v>300</v>
      </c>
    </row>
    <row r="43" spans="2:22">
      <c r="B43" s="79" t="s">
        <v>357</v>
      </c>
      <c r="C43" s="90">
        <v>5</v>
      </c>
      <c r="D43" s="90">
        <v>5</v>
      </c>
      <c r="E43" s="90">
        <v>1</v>
      </c>
      <c r="F43" s="7"/>
      <c r="G43" s="90">
        <v>5</v>
      </c>
      <c r="H43" s="90">
        <v>2.5</v>
      </c>
      <c r="I43" s="90">
        <v>2.5</v>
      </c>
      <c r="J43" s="90">
        <v>2</v>
      </c>
      <c r="K43" s="90">
        <v>2</v>
      </c>
      <c r="L43" s="90">
        <v>1</v>
      </c>
      <c r="M43" s="90">
        <v>1.5</v>
      </c>
      <c r="N43" s="90">
        <v>4</v>
      </c>
      <c r="O43" s="90">
        <v>3</v>
      </c>
      <c r="P43" s="7"/>
      <c r="Q43" s="90">
        <v>2</v>
      </c>
      <c r="R43" s="90">
        <v>1.5</v>
      </c>
      <c r="S43" s="90">
        <v>3</v>
      </c>
      <c r="T43" s="138">
        <v>3</v>
      </c>
      <c r="U43" s="7"/>
      <c r="V43" s="7"/>
    </row>
    <row r="44" spans="2:22" ht="13.5" thickBot="1"/>
    <row r="45" spans="2:22" ht="32.25" thickBot="1">
      <c r="B45" s="118" t="s">
        <v>466</v>
      </c>
      <c r="C45" s="119">
        <v>300</v>
      </c>
    </row>
    <row r="46" spans="2:22" ht="13.5" thickBot="1">
      <c r="B46" t="s">
        <v>352</v>
      </c>
      <c r="C46">
        <f>LOG10(C45)</f>
        <v>2.4771212547196626</v>
      </c>
    </row>
    <row r="47" spans="2:22" ht="48" thickBot="1">
      <c r="B47" s="117" t="s">
        <v>472</v>
      </c>
      <c r="C47" s="115">
        <f t="shared" ref="C47:U47" si="0">IF(AND($C$45&gt;=C$41,$C$45&lt;=C$42),10^(C$32+$C$46*(C$33+$C$46*(C$34+$C$46*(C$35+$C$46*(C$36+$C$46*(C$37+$C$46*(C$38+$C$46*(C$39+$C$46*C$40)))))))),"Out of Range")</f>
        <v>953.86436007414545</v>
      </c>
      <c r="D47" s="115">
        <f t="shared" si="0"/>
        <v>469.44884067176986</v>
      </c>
      <c r="E47" s="115" t="str">
        <f t="shared" si="0"/>
        <v>Out of Range</v>
      </c>
      <c r="F47" s="115">
        <f t="shared" si="0"/>
        <v>389.40151139664272</v>
      </c>
      <c r="G47" s="115">
        <f t="shared" si="0"/>
        <v>953.86436007414545</v>
      </c>
      <c r="H47" s="115" t="str">
        <f t="shared" si="0"/>
        <v>Out of Range</v>
      </c>
      <c r="I47" s="115">
        <f t="shared" si="0"/>
        <v>472.77770496930373</v>
      </c>
      <c r="J47" s="115" t="str">
        <f t="shared" si="0"/>
        <v>Out of Range</v>
      </c>
      <c r="K47" s="115">
        <f t="shared" si="0"/>
        <v>490.21338230065078</v>
      </c>
      <c r="L47" s="115" t="str">
        <f t="shared" si="0"/>
        <v>Out of Range</v>
      </c>
      <c r="M47" s="115">
        <f t="shared" si="0"/>
        <v>104.0563588123414</v>
      </c>
      <c r="N47" s="115">
        <f t="shared" si="0"/>
        <v>1619.1938054928198</v>
      </c>
      <c r="O47" s="115">
        <f t="shared" si="0"/>
        <v>754.54988701025934</v>
      </c>
      <c r="P47" s="115">
        <f t="shared" si="0"/>
        <v>998.74271716121552</v>
      </c>
      <c r="Q47" s="115" t="str">
        <f t="shared" si="0"/>
        <v>Out of Range</v>
      </c>
      <c r="R47" s="115">
        <f t="shared" si="0"/>
        <v>457.67943116449965</v>
      </c>
      <c r="S47" s="115" t="str">
        <f t="shared" si="0"/>
        <v>Out of Range</v>
      </c>
      <c r="T47" s="116" t="str">
        <f t="shared" si="0"/>
        <v>Out of Range</v>
      </c>
      <c r="U47" s="116">
        <f t="shared" si="0"/>
        <v>998.74271716121552</v>
      </c>
      <c r="V47" s="116">
        <f>IF(AND($C$45&gt;=V$41,$C$45&lt;=V$42),10^(V$32+$C$46*(V$33+$C$46*(V$34+$C$46*(V$35+$C$46*(V$36+$C$46*(V$37+$C$46*(V$38+$C$46*(V$39+$C$46*V$40)))))))),"Out of Range")</f>
        <v>1115.3867990087019</v>
      </c>
    </row>
    <row r="49" spans="2:25">
      <c r="B49" s="270" t="s">
        <v>519</v>
      </c>
      <c r="C49" s="270"/>
    </row>
    <row r="50" spans="2:25">
      <c r="B50" s="62" t="s">
        <v>337</v>
      </c>
      <c r="C50" s="62" t="s">
        <v>518</v>
      </c>
    </row>
    <row r="51" spans="2:25">
      <c r="B51" s="62" t="s">
        <v>339</v>
      </c>
      <c r="C51" s="7">
        <v>230.67435672391801</v>
      </c>
    </row>
    <row r="52" spans="2:25">
      <c r="B52" s="62" t="s">
        <v>340</v>
      </c>
      <c r="C52" s="7">
        <v>1.191222004438</v>
      </c>
    </row>
    <row r="53" spans="2:25">
      <c r="B53" s="62" t="s">
        <v>349</v>
      </c>
      <c r="C53" s="7">
        <v>1.0428032566999999E-2</v>
      </c>
    </row>
    <row r="54" spans="2:25">
      <c r="B54" s="62" t="s">
        <v>347</v>
      </c>
      <c r="C54" s="7">
        <v>81</v>
      </c>
    </row>
    <row r="55" spans="2:25">
      <c r="B55" s="62" t="s">
        <v>348</v>
      </c>
      <c r="C55" s="7">
        <v>300</v>
      </c>
    </row>
    <row r="56" spans="2:25" ht="13.5" thickBot="1"/>
    <row r="57" spans="2:25" ht="32.25" thickBot="1">
      <c r="B57" s="118" t="s">
        <v>466</v>
      </c>
      <c r="C57" s="119">
        <v>293</v>
      </c>
    </row>
    <row r="58" spans="2:25" ht="13.5" thickBot="1"/>
    <row r="59" spans="2:25" ht="48" thickBot="1">
      <c r="B59" s="178" t="s">
        <v>520</v>
      </c>
      <c r="C59" s="179">
        <f>IF(AND($C$45&gt;=C$41,$C$45&lt;=C$42),C51+C52*C57+C53*C57^2,"Out of Range")</f>
        <v>1474.9385718686349</v>
      </c>
    </row>
    <row r="61" spans="2:25">
      <c r="B61" s="270" t="s">
        <v>617</v>
      </c>
      <c r="C61" s="270"/>
      <c r="E61" s="271" t="s">
        <v>620</v>
      </c>
      <c r="F61" s="270"/>
      <c r="H61" s="271" t="s">
        <v>622</v>
      </c>
      <c r="I61" s="270"/>
      <c r="K61" s="271" t="s">
        <v>625</v>
      </c>
      <c r="L61" s="270"/>
      <c r="N61" s="271" t="s">
        <v>630</v>
      </c>
      <c r="O61" s="270"/>
      <c r="Q61" s="271" t="s">
        <v>633</v>
      </c>
      <c r="R61" s="270"/>
      <c r="T61" s="270" t="s">
        <v>639</v>
      </c>
      <c r="U61" s="270"/>
      <c r="V61" s="270"/>
      <c r="X61" s="270" t="s">
        <v>655</v>
      </c>
      <c r="Y61" s="270"/>
    </row>
    <row r="62" spans="2:25">
      <c r="B62" s="205" t="s">
        <v>281</v>
      </c>
      <c r="C62" s="205" t="s">
        <v>616</v>
      </c>
      <c r="E62" s="205" t="s">
        <v>281</v>
      </c>
      <c r="F62" s="205" t="s">
        <v>616</v>
      </c>
      <c r="H62" s="205" t="s">
        <v>281</v>
      </c>
      <c r="I62" s="205" t="s">
        <v>616</v>
      </c>
      <c r="K62" s="205" t="s">
        <v>281</v>
      </c>
      <c r="L62" s="205" t="s">
        <v>616</v>
      </c>
      <c r="N62" s="205" t="s">
        <v>281</v>
      </c>
      <c r="O62" s="205" t="s">
        <v>616</v>
      </c>
      <c r="Q62" s="205" t="s">
        <v>281</v>
      </c>
      <c r="R62" s="205" t="s">
        <v>616</v>
      </c>
      <c r="T62" s="207" t="s">
        <v>281</v>
      </c>
      <c r="U62" s="207" t="s">
        <v>616</v>
      </c>
      <c r="V62" s="206" t="s">
        <v>636</v>
      </c>
      <c r="X62" s="205" t="s">
        <v>281</v>
      </c>
      <c r="Y62" s="205" t="s">
        <v>616</v>
      </c>
    </row>
    <row r="63" spans="2:25">
      <c r="B63" s="172">
        <v>7.72</v>
      </c>
      <c r="C63" s="9">
        <v>0.1227</v>
      </c>
      <c r="E63" s="7">
        <v>10.91</v>
      </c>
      <c r="F63" s="7">
        <v>9.8070000000000004E-2</v>
      </c>
      <c r="H63" s="7">
        <v>5</v>
      </c>
      <c r="I63" s="7">
        <v>0.14230000000000001</v>
      </c>
      <c r="K63" s="172">
        <v>0.36220000000000002</v>
      </c>
      <c r="L63" s="7">
        <v>6.7359999999999998E-3</v>
      </c>
      <c r="N63" s="172">
        <v>52.91</v>
      </c>
      <c r="O63" s="172">
        <v>25.02</v>
      </c>
      <c r="Q63" s="172">
        <v>2.27</v>
      </c>
      <c r="R63" s="172">
        <v>1.3639999999999999E-2</v>
      </c>
      <c r="T63" s="172">
        <v>12.09</v>
      </c>
      <c r="U63" s="172">
        <v>27.52</v>
      </c>
      <c r="V63" s="7" t="s">
        <v>635</v>
      </c>
      <c r="X63" s="47">
        <v>12.83</v>
      </c>
      <c r="Y63" s="172">
        <v>4.0079999999999998E-2</v>
      </c>
    </row>
    <row r="64" spans="2:25">
      <c r="B64" s="172">
        <v>10.46</v>
      </c>
      <c r="C64" s="9">
        <v>0.31769999999999998</v>
      </c>
      <c r="E64" s="7">
        <v>16.61</v>
      </c>
      <c r="F64" s="7">
        <v>0.40210000000000001</v>
      </c>
      <c r="H64" s="7">
        <v>10</v>
      </c>
      <c r="I64" s="7">
        <v>0.38490000000000002</v>
      </c>
      <c r="K64" s="172">
        <v>0.50980000000000003</v>
      </c>
      <c r="L64" s="7">
        <v>9.0369999999999999E-3</v>
      </c>
      <c r="N64" s="172">
        <v>57.44</v>
      </c>
      <c r="O64" s="172">
        <v>32.15</v>
      </c>
      <c r="Q64" s="172">
        <v>2.92</v>
      </c>
      <c r="R64" s="172">
        <v>2.0789999999999999E-2</v>
      </c>
      <c r="T64" s="172">
        <v>13</v>
      </c>
      <c r="U64" s="172">
        <v>31.41</v>
      </c>
      <c r="V64" s="7" t="s">
        <v>635</v>
      </c>
      <c r="X64" s="47">
        <v>12.97</v>
      </c>
      <c r="Y64" s="172">
        <v>4.3929999999999997E-2</v>
      </c>
    </row>
    <row r="65" spans="2:25">
      <c r="B65" s="172">
        <v>15.3</v>
      </c>
      <c r="C65" s="9">
        <v>1.1970000000000001</v>
      </c>
      <c r="E65" s="7">
        <v>20.61</v>
      </c>
      <c r="F65" s="7">
        <v>0.76480000000000004</v>
      </c>
      <c r="H65" s="7">
        <v>20</v>
      </c>
      <c r="I65" s="7">
        <v>1.6020000000000001</v>
      </c>
      <c r="K65" s="172">
        <v>0.60199999999999998</v>
      </c>
      <c r="L65" s="7">
        <v>1.0840000000000001E-2</v>
      </c>
      <c r="N65" s="172">
        <v>62.13</v>
      </c>
      <c r="O65" s="172">
        <v>40.93</v>
      </c>
      <c r="Q65" s="172">
        <v>3.9780000000000002</v>
      </c>
      <c r="R65" s="172">
        <v>3.807E-2</v>
      </c>
      <c r="T65" s="172">
        <v>13.94</v>
      </c>
      <c r="U65" s="172">
        <v>35.01</v>
      </c>
      <c r="V65" s="7" t="s">
        <v>635</v>
      </c>
      <c r="X65" s="47">
        <v>16.02</v>
      </c>
      <c r="Y65" s="172">
        <v>6.694E-2</v>
      </c>
    </row>
    <row r="66" spans="2:25">
      <c r="B66" s="172">
        <v>20.25</v>
      </c>
      <c r="C66" s="9">
        <v>3.5990000000000002</v>
      </c>
      <c r="E66" s="7">
        <v>25.46</v>
      </c>
      <c r="F66" s="7">
        <v>1.5</v>
      </c>
      <c r="H66" s="7">
        <v>40</v>
      </c>
      <c r="I66" s="7">
        <v>10.039999999999999</v>
      </c>
      <c r="K66" s="172">
        <v>0.70250000000000001</v>
      </c>
      <c r="L66" s="7">
        <v>1.3140000000000001E-2</v>
      </c>
      <c r="N66" s="172">
        <v>67.150000000000006</v>
      </c>
      <c r="O66" s="172">
        <v>51.17</v>
      </c>
      <c r="Q66" s="172">
        <v>5.1870000000000003</v>
      </c>
      <c r="R66" s="172">
        <v>5.5480000000000002E-2</v>
      </c>
      <c r="T66" s="172">
        <v>14.47</v>
      </c>
      <c r="U66" s="172">
        <v>37.93</v>
      </c>
      <c r="V66" s="7" t="s">
        <v>635</v>
      </c>
      <c r="X66" s="47">
        <v>16.75</v>
      </c>
      <c r="Y66" s="172">
        <v>6.6110000000000002E-2</v>
      </c>
    </row>
    <row r="67" spans="2:25">
      <c r="B67" s="172">
        <v>25.17</v>
      </c>
      <c r="C67" s="9">
        <v>8.657</v>
      </c>
      <c r="E67" s="7">
        <v>30.45</v>
      </c>
      <c r="F67" s="7">
        <v>2.6680000000000001</v>
      </c>
      <c r="H67" s="7">
        <v>60</v>
      </c>
      <c r="I67" s="7">
        <v>34.06</v>
      </c>
      <c r="K67" s="172">
        <v>0.81630000000000003</v>
      </c>
      <c r="L67" s="7">
        <v>1.5520000000000001E-2</v>
      </c>
      <c r="N67" s="172">
        <v>72.489999999999995</v>
      </c>
      <c r="O67" s="172">
        <v>63.14</v>
      </c>
      <c r="Q67" s="172">
        <v>6.1539999999999999</v>
      </c>
      <c r="R67" s="172">
        <v>8.0500000000000002E-2</v>
      </c>
      <c r="T67" s="172">
        <v>15.92</v>
      </c>
      <c r="U67" s="172">
        <v>43.89</v>
      </c>
      <c r="V67" s="7" t="s">
        <v>635</v>
      </c>
      <c r="X67" s="47">
        <v>18.63</v>
      </c>
      <c r="Y67" s="172">
        <v>8.4099999999999994E-2</v>
      </c>
    </row>
    <row r="68" spans="2:25">
      <c r="B68" s="172">
        <v>31.62</v>
      </c>
      <c r="C68" s="9">
        <v>20.66</v>
      </c>
      <c r="E68" s="7">
        <v>42.78</v>
      </c>
      <c r="F68" s="7">
        <v>8.4730000000000008</v>
      </c>
      <c r="H68" s="7">
        <v>80</v>
      </c>
      <c r="I68" s="7">
        <v>90.37</v>
      </c>
      <c r="K68" s="172">
        <v>0.90500000000000003</v>
      </c>
      <c r="L68" s="7">
        <v>1.72E-2</v>
      </c>
      <c r="N68" s="172">
        <v>77.19</v>
      </c>
      <c r="O68" s="172">
        <v>74.73</v>
      </c>
      <c r="Q68" s="172">
        <v>7.101</v>
      </c>
      <c r="R68" s="172">
        <v>0.111</v>
      </c>
      <c r="T68" s="172">
        <v>17.329999999999998</v>
      </c>
      <c r="U68" s="172">
        <v>50.46</v>
      </c>
      <c r="V68" s="7" t="s">
        <v>635</v>
      </c>
      <c r="X68" s="47">
        <v>19.760000000000002</v>
      </c>
      <c r="Y68" s="172">
        <v>0.1138</v>
      </c>
    </row>
    <row r="69" spans="2:25">
      <c r="B69" s="172">
        <v>40.880000000000003</v>
      </c>
      <c r="C69" s="9">
        <v>46.78</v>
      </c>
      <c r="E69" s="7">
        <v>52.83</v>
      </c>
      <c r="F69" s="7">
        <v>17.72</v>
      </c>
      <c r="H69" s="7">
        <v>100</v>
      </c>
      <c r="I69" s="7">
        <v>202.9</v>
      </c>
      <c r="K69" s="172">
        <v>1.085</v>
      </c>
      <c r="L69" s="7">
        <v>2.0330000000000001E-2</v>
      </c>
      <c r="N69" s="172">
        <v>81.59</v>
      </c>
      <c r="O69" s="172">
        <v>86.07</v>
      </c>
      <c r="Q69" s="172">
        <v>8.0449999999999999</v>
      </c>
      <c r="R69" s="172">
        <v>0.1512</v>
      </c>
      <c r="T69" s="172">
        <v>18.16</v>
      </c>
      <c r="U69" s="172">
        <v>52.09</v>
      </c>
      <c r="V69" s="7" t="s">
        <v>635</v>
      </c>
      <c r="X69" s="47">
        <v>21.3</v>
      </c>
      <c r="Y69" s="172">
        <v>0.1477</v>
      </c>
    </row>
    <row r="70" spans="2:25">
      <c r="B70" s="172">
        <v>50.5</v>
      </c>
      <c r="C70" s="9">
        <v>80.12</v>
      </c>
      <c r="E70" s="7">
        <v>72.02</v>
      </c>
      <c r="F70" s="7">
        <v>49.2</v>
      </c>
      <c r="H70" s="7">
        <v>120</v>
      </c>
      <c r="I70" s="7">
        <v>354</v>
      </c>
      <c r="K70" s="172">
        <v>1.4530000000000001</v>
      </c>
      <c r="L70" s="7">
        <v>2.7609999999999999E-2</v>
      </c>
      <c r="N70" s="172">
        <v>86.79</v>
      </c>
      <c r="O70" s="172">
        <v>100</v>
      </c>
      <c r="Q70" s="172">
        <v>8.9879999999999995</v>
      </c>
      <c r="R70" s="172">
        <v>0.1991</v>
      </c>
      <c r="T70" s="172">
        <v>18.89</v>
      </c>
      <c r="U70" s="172">
        <v>56.44</v>
      </c>
      <c r="V70" s="7" t="s">
        <v>635</v>
      </c>
      <c r="X70" s="47">
        <v>22.46</v>
      </c>
      <c r="Y70" s="172">
        <v>0.1749</v>
      </c>
    </row>
    <row r="71" spans="2:25">
      <c r="B71" s="172">
        <v>75.569999999999993</v>
      </c>
      <c r="C71" s="9">
        <v>171.6</v>
      </c>
      <c r="E71" s="7">
        <v>90.7</v>
      </c>
      <c r="F71" s="7">
        <v>97.32</v>
      </c>
      <c r="H71" s="7">
        <v>150</v>
      </c>
      <c r="I71" s="7">
        <v>636</v>
      </c>
      <c r="K71" s="172">
        <v>2</v>
      </c>
      <c r="L71" s="7">
        <v>3.9620000000000002E-2</v>
      </c>
      <c r="N71" s="172">
        <v>95.08</v>
      </c>
      <c r="O71" s="172">
        <v>123.9</v>
      </c>
      <c r="Q71" s="172">
        <v>9.9209999999999994</v>
      </c>
      <c r="R71" s="172">
        <v>0.25559999999999999</v>
      </c>
      <c r="T71" s="172">
        <v>20.11</v>
      </c>
      <c r="U71" s="172">
        <v>63.39</v>
      </c>
      <c r="V71" s="7" t="s">
        <v>635</v>
      </c>
      <c r="X71" s="47">
        <v>24.1</v>
      </c>
      <c r="Y71" s="172">
        <v>0.2092</v>
      </c>
    </row>
    <row r="72" spans="2:25">
      <c r="B72" s="172">
        <v>100.1</v>
      </c>
      <c r="C72" s="9">
        <v>259.2</v>
      </c>
      <c r="E72" s="7">
        <v>116.3</v>
      </c>
      <c r="F72" s="7">
        <v>182.4</v>
      </c>
      <c r="H72" s="7">
        <v>200</v>
      </c>
      <c r="I72" s="7">
        <v>1113</v>
      </c>
      <c r="K72" s="172">
        <v>2.948</v>
      </c>
      <c r="L72" s="7">
        <v>6.3600000000000004E-2</v>
      </c>
      <c r="N72" s="172">
        <v>105</v>
      </c>
      <c r="O72" s="172">
        <v>154.1</v>
      </c>
      <c r="Q72" s="172">
        <v>10.94</v>
      </c>
      <c r="R72" s="172">
        <v>0.32090000000000002</v>
      </c>
      <c r="T72" s="172">
        <v>30</v>
      </c>
      <c r="U72" s="172">
        <v>109</v>
      </c>
      <c r="V72" s="7" t="s">
        <v>635</v>
      </c>
      <c r="X72" s="47">
        <v>25.28</v>
      </c>
      <c r="Y72" s="172">
        <v>0.24690000000000001</v>
      </c>
    </row>
    <row r="73" spans="2:25">
      <c r="B73" s="172">
        <v>124.7</v>
      </c>
      <c r="C73" s="9">
        <v>344.2</v>
      </c>
      <c r="E73" s="7">
        <v>126.6</v>
      </c>
      <c r="F73" s="7">
        <v>221.5</v>
      </c>
      <c r="H73" s="7">
        <v>250</v>
      </c>
      <c r="I73" s="7">
        <v>1536</v>
      </c>
      <c r="K73" s="172">
        <v>3.46</v>
      </c>
      <c r="L73" s="7">
        <v>7.8659999999999994E-2</v>
      </c>
      <c r="N73" s="172">
        <v>114.7</v>
      </c>
      <c r="O73" s="172">
        <v>185</v>
      </c>
      <c r="Q73" s="172">
        <v>11.87</v>
      </c>
      <c r="R73" s="172">
        <v>0.39140000000000003</v>
      </c>
      <c r="T73" s="172">
        <v>39.97</v>
      </c>
      <c r="U73" s="172">
        <v>140.19999999999999</v>
      </c>
      <c r="V73" s="7" t="s">
        <v>635</v>
      </c>
      <c r="X73" s="47">
        <v>26.99</v>
      </c>
      <c r="Y73" s="172">
        <v>0.28949999999999998</v>
      </c>
    </row>
    <row r="74" spans="2:25">
      <c r="B74" s="172">
        <v>151.1</v>
      </c>
      <c r="C74" s="9">
        <v>428.9</v>
      </c>
      <c r="E74" s="7">
        <v>154.19999999999999</v>
      </c>
      <c r="F74" s="7">
        <v>330.9</v>
      </c>
      <c r="H74" s="7">
        <v>300</v>
      </c>
      <c r="I74" s="7">
        <v>1833</v>
      </c>
      <c r="K74" s="172">
        <v>4.8730000000000002</v>
      </c>
      <c r="L74" s="7">
        <v>0.12759999999999999</v>
      </c>
      <c r="N74" s="172">
        <v>124.5</v>
      </c>
      <c r="O74" s="172">
        <v>217.3</v>
      </c>
      <c r="Q74" s="172">
        <v>12.57</v>
      </c>
      <c r="R74" s="172">
        <v>0.45729999999999998</v>
      </c>
      <c r="T74" s="172">
        <v>50.2</v>
      </c>
      <c r="U74" s="172">
        <v>163.1</v>
      </c>
      <c r="V74" s="7" t="s">
        <v>635</v>
      </c>
      <c r="X74" s="47">
        <v>28.3</v>
      </c>
      <c r="Y74" s="172">
        <v>0.3397</v>
      </c>
    </row>
    <row r="75" spans="2:25">
      <c r="B75" s="172">
        <v>173.2</v>
      </c>
      <c r="C75" s="9">
        <v>491.6</v>
      </c>
      <c r="E75" s="7">
        <v>177.2</v>
      </c>
      <c r="F75" s="7">
        <v>419.2</v>
      </c>
      <c r="H75" s="7">
        <v>373</v>
      </c>
      <c r="I75" s="7">
        <v>1998</v>
      </c>
      <c r="K75" s="172">
        <v>9.1790000000000003</v>
      </c>
      <c r="L75" s="7">
        <v>0.38369999999999999</v>
      </c>
      <c r="N75" s="172">
        <v>135.80000000000001</v>
      </c>
      <c r="O75" s="172">
        <v>255.3</v>
      </c>
      <c r="Q75" s="172">
        <v>14.07</v>
      </c>
      <c r="R75" s="172">
        <v>0.61880000000000002</v>
      </c>
      <c r="T75" s="172">
        <v>75.61</v>
      </c>
      <c r="U75" s="172">
        <v>189.4</v>
      </c>
      <c r="V75" s="7" t="s">
        <v>635</v>
      </c>
      <c r="X75" s="47">
        <v>29.99</v>
      </c>
      <c r="Y75" s="172">
        <v>0.40789999999999998</v>
      </c>
    </row>
    <row r="76" spans="2:25">
      <c r="B76" s="172">
        <v>200.1</v>
      </c>
      <c r="C76" s="9">
        <v>556.9</v>
      </c>
      <c r="E76" s="7">
        <v>198.7</v>
      </c>
      <c r="F76" s="7">
        <v>497.1</v>
      </c>
      <c r="H76" s="7">
        <v>423</v>
      </c>
      <c r="I76" s="7">
        <v>2141</v>
      </c>
      <c r="K76" s="172">
        <v>10.45</v>
      </c>
      <c r="L76" s="7">
        <v>0.54390000000000005</v>
      </c>
      <c r="N76" s="172">
        <v>145.9</v>
      </c>
      <c r="O76" s="172">
        <v>290.39999999999998</v>
      </c>
      <c r="Q76" s="172">
        <v>14.82</v>
      </c>
      <c r="R76" s="172">
        <v>0.72340000000000004</v>
      </c>
      <c r="T76" s="172">
        <v>101.7</v>
      </c>
      <c r="U76" s="172">
        <v>203.2</v>
      </c>
      <c r="V76" s="7" t="s">
        <v>635</v>
      </c>
      <c r="X76" s="47">
        <v>31.33</v>
      </c>
      <c r="Y76" s="172">
        <v>0.46860000000000002</v>
      </c>
    </row>
    <row r="77" spans="2:25">
      <c r="B77" s="172">
        <v>224.2</v>
      </c>
      <c r="C77" s="9">
        <v>605</v>
      </c>
      <c r="E77" s="7">
        <v>221.8</v>
      </c>
      <c r="F77" s="7">
        <v>574</v>
      </c>
      <c r="H77" s="7">
        <v>473</v>
      </c>
      <c r="I77" s="7">
        <v>2264</v>
      </c>
      <c r="K77" s="172">
        <v>15.27</v>
      </c>
      <c r="L77" s="7">
        <v>1.0880000000000001</v>
      </c>
      <c r="N77" s="172">
        <v>156.30000000000001</v>
      </c>
      <c r="O77" s="172">
        <v>326.39999999999998</v>
      </c>
      <c r="Q77" s="172">
        <v>20.23</v>
      </c>
      <c r="R77" s="172">
        <v>1.8460000000000001</v>
      </c>
      <c r="T77" s="172">
        <v>124.9</v>
      </c>
      <c r="U77" s="172">
        <v>211.8</v>
      </c>
      <c r="V77" s="7" t="s">
        <v>635</v>
      </c>
      <c r="X77" s="47">
        <v>33.409999999999997</v>
      </c>
      <c r="Y77" s="172">
        <v>0.56069999999999998</v>
      </c>
    </row>
    <row r="78" spans="2:25">
      <c r="B78" s="172">
        <v>252.4</v>
      </c>
      <c r="C78" s="9">
        <v>652.29999999999995</v>
      </c>
      <c r="E78" s="7">
        <v>245.7</v>
      </c>
      <c r="F78" s="7">
        <v>646</v>
      </c>
      <c r="H78" s="7">
        <v>523</v>
      </c>
      <c r="I78" s="7">
        <v>2367</v>
      </c>
      <c r="K78" s="172">
        <v>21.3</v>
      </c>
      <c r="L78" s="7">
        <v>2.6280000000000001</v>
      </c>
      <c r="N78" s="172">
        <v>165.8</v>
      </c>
      <c r="O78" s="172">
        <v>358.7</v>
      </c>
      <c r="Q78" s="172">
        <v>25.85</v>
      </c>
      <c r="R78" s="172">
        <v>4.3719999999999999</v>
      </c>
      <c r="T78" s="172">
        <v>153.30000000000001</v>
      </c>
      <c r="U78" s="172">
        <v>219.2</v>
      </c>
      <c r="V78" s="7" t="s">
        <v>635</v>
      </c>
      <c r="X78" s="47">
        <v>34.61</v>
      </c>
      <c r="Y78" s="172">
        <v>0.61919999999999997</v>
      </c>
    </row>
    <row r="79" spans="2:25">
      <c r="B79" s="172">
        <v>273.8</v>
      </c>
      <c r="C79" s="9">
        <v>682.4</v>
      </c>
      <c r="E79" s="7">
        <v>274.2</v>
      </c>
      <c r="F79" s="7">
        <v>720.9</v>
      </c>
      <c r="H79" s="7">
        <v>573</v>
      </c>
      <c r="I79" s="7">
        <v>2454</v>
      </c>
      <c r="K79" s="172">
        <v>26.81</v>
      </c>
      <c r="L79" s="7">
        <v>5.468</v>
      </c>
      <c r="N79" s="172">
        <v>176.3</v>
      </c>
      <c r="O79" s="172">
        <v>394</v>
      </c>
      <c r="Q79" s="172">
        <v>29.74</v>
      </c>
      <c r="R79" s="172">
        <v>7.1420000000000003</v>
      </c>
      <c r="T79" s="172">
        <v>176.8</v>
      </c>
      <c r="U79" s="172">
        <v>222.5</v>
      </c>
      <c r="V79" s="7" t="s">
        <v>635</v>
      </c>
      <c r="X79" s="47">
        <v>37.32</v>
      </c>
      <c r="Y79" s="172">
        <v>0.79500000000000004</v>
      </c>
    </row>
    <row r="80" spans="2:25">
      <c r="B80" s="172">
        <v>300.5</v>
      </c>
      <c r="C80" s="9">
        <v>714.2</v>
      </c>
      <c r="E80" s="7">
        <v>297.5</v>
      </c>
      <c r="F80" s="7">
        <v>773.6</v>
      </c>
      <c r="H80" s="7">
        <v>623</v>
      </c>
      <c r="I80" s="7">
        <v>2526</v>
      </c>
      <c r="K80" s="172">
        <v>31.13</v>
      </c>
      <c r="L80" s="7">
        <v>9.0039999999999996</v>
      </c>
      <c r="N80" s="172">
        <v>185.9</v>
      </c>
      <c r="O80" s="172">
        <v>426.4</v>
      </c>
      <c r="Q80" s="172">
        <v>43</v>
      </c>
      <c r="R80" s="172">
        <v>21.83</v>
      </c>
      <c r="T80" s="172">
        <v>201.5</v>
      </c>
      <c r="U80" s="172">
        <v>224.9</v>
      </c>
      <c r="V80" s="7" t="s">
        <v>635</v>
      </c>
      <c r="X80" s="47">
        <v>38.049999999999997</v>
      </c>
      <c r="Y80" s="172">
        <v>0.84519999999999995</v>
      </c>
    </row>
    <row r="81" spans="2:25">
      <c r="B81" s="172">
        <v>373</v>
      </c>
      <c r="C81" s="9">
        <v>769.9</v>
      </c>
      <c r="E81" s="7">
        <v>353.6</v>
      </c>
      <c r="F81" s="7">
        <v>879.1</v>
      </c>
      <c r="H81" s="7">
        <v>673</v>
      </c>
      <c r="I81" s="7">
        <v>2587</v>
      </c>
      <c r="K81" s="172">
        <v>40.770000000000003</v>
      </c>
      <c r="L81" s="7">
        <v>21.7</v>
      </c>
      <c r="N81" s="172">
        <v>196</v>
      </c>
      <c r="O81" s="172">
        <v>458.2</v>
      </c>
      <c r="Q81" s="172">
        <v>48.5</v>
      </c>
      <c r="R81" s="172">
        <v>29.56</v>
      </c>
      <c r="T81" s="172">
        <v>223.9</v>
      </c>
      <c r="U81" s="172">
        <v>227.4</v>
      </c>
      <c r="V81" s="7" t="s">
        <v>635</v>
      </c>
      <c r="X81" s="47">
        <v>41.32</v>
      </c>
      <c r="Y81" s="172">
        <v>1.0920000000000001</v>
      </c>
    </row>
    <row r="82" spans="2:25">
      <c r="B82" s="172">
        <v>473</v>
      </c>
      <c r="C82" s="9">
        <v>824.2</v>
      </c>
      <c r="E82" s="7">
        <v>423.6</v>
      </c>
      <c r="F82" s="7">
        <v>968.6</v>
      </c>
      <c r="H82" s="7">
        <v>723</v>
      </c>
      <c r="I82" s="7">
        <v>2636</v>
      </c>
      <c r="K82" s="172">
        <v>51.85</v>
      </c>
      <c r="L82" s="7">
        <v>43.18</v>
      </c>
      <c r="N82" s="172">
        <v>206.5</v>
      </c>
      <c r="O82" s="172">
        <v>492</v>
      </c>
      <c r="Q82" s="172">
        <v>59.8</v>
      </c>
      <c r="R82" s="172">
        <v>45.35</v>
      </c>
      <c r="T82" s="172">
        <v>250.3</v>
      </c>
      <c r="U82" s="172">
        <v>230.3</v>
      </c>
      <c r="V82" s="7" t="s">
        <v>635</v>
      </c>
      <c r="X82" s="47">
        <v>41.33</v>
      </c>
      <c r="Y82" s="172">
        <v>1.0920000000000001</v>
      </c>
    </row>
    <row r="83" spans="2:25">
      <c r="B83" s="172">
        <v>573</v>
      </c>
      <c r="C83" s="9">
        <v>847.3</v>
      </c>
      <c r="E83" s="7">
        <v>523.20000000000005</v>
      </c>
      <c r="F83" s="7">
        <v>1059</v>
      </c>
      <c r="H83" s="7">
        <v>773</v>
      </c>
      <c r="I83" s="7">
        <v>2678</v>
      </c>
      <c r="K83" s="172">
        <v>62.6</v>
      </c>
      <c r="L83" s="7">
        <v>66.989999999999995</v>
      </c>
      <c r="N83" s="172">
        <v>216.4</v>
      </c>
      <c r="O83" s="172">
        <v>523</v>
      </c>
      <c r="Q83" s="172">
        <v>74.510000000000005</v>
      </c>
      <c r="R83" s="172">
        <v>63.68</v>
      </c>
      <c r="T83" s="172">
        <v>272.7</v>
      </c>
      <c r="U83" s="172">
        <v>230.7</v>
      </c>
      <c r="V83" s="7" t="s">
        <v>635</v>
      </c>
      <c r="X83" s="47">
        <v>44.49</v>
      </c>
      <c r="Y83" s="172">
        <v>1.3720000000000001</v>
      </c>
    </row>
    <row r="84" spans="2:25">
      <c r="B84" s="172">
        <v>673</v>
      </c>
      <c r="C84" s="9">
        <v>864</v>
      </c>
      <c r="E84" s="7">
        <v>627.29999999999995</v>
      </c>
      <c r="F84" s="7">
        <v>1117</v>
      </c>
      <c r="H84" s="7">
        <v>823</v>
      </c>
      <c r="I84" s="7">
        <v>2712</v>
      </c>
      <c r="K84" s="172">
        <v>73.459999999999994</v>
      </c>
      <c r="L84" s="7">
        <v>90.83</v>
      </c>
      <c r="N84" s="172">
        <v>226.2</v>
      </c>
      <c r="O84" s="172">
        <v>552.70000000000005</v>
      </c>
      <c r="Q84" s="172">
        <v>102</v>
      </c>
      <c r="R84" s="172">
        <v>88.45</v>
      </c>
      <c r="T84" s="172">
        <v>353.7</v>
      </c>
      <c r="U84" s="172">
        <v>239.2</v>
      </c>
      <c r="V84" s="7" t="s">
        <v>635</v>
      </c>
      <c r="X84" s="47">
        <v>45.23</v>
      </c>
      <c r="Y84" s="172">
        <v>1.4390000000000001</v>
      </c>
    </row>
    <row r="85" spans="2:25">
      <c r="B85" s="172">
        <v>773</v>
      </c>
      <c r="C85" s="9">
        <v>880.7</v>
      </c>
      <c r="E85" s="7">
        <v>732.1</v>
      </c>
      <c r="F85" s="7">
        <v>1159</v>
      </c>
      <c r="H85" s="7">
        <v>873</v>
      </c>
      <c r="I85" s="7">
        <v>2746</v>
      </c>
      <c r="K85" s="172">
        <v>80.61</v>
      </c>
      <c r="L85" s="7">
        <v>105.4</v>
      </c>
      <c r="N85" s="172">
        <v>236.2</v>
      </c>
      <c r="O85" s="172">
        <v>580.70000000000005</v>
      </c>
      <c r="Q85" s="172">
        <v>125.1</v>
      </c>
      <c r="R85" s="172">
        <v>101.9</v>
      </c>
      <c r="T85" s="172">
        <v>374</v>
      </c>
      <c r="U85" s="172">
        <v>244.2</v>
      </c>
      <c r="V85" s="7" t="s">
        <v>635</v>
      </c>
      <c r="X85" s="47">
        <v>47.57</v>
      </c>
      <c r="Y85" s="172">
        <v>1.6779999999999999</v>
      </c>
    </row>
    <row r="86" spans="2:25">
      <c r="B86" s="172">
        <v>873</v>
      </c>
      <c r="C86" s="9">
        <v>897.5</v>
      </c>
      <c r="E86" s="7">
        <v>825.1</v>
      </c>
      <c r="F86" s="7">
        <v>1192</v>
      </c>
      <c r="H86" s="7">
        <v>923</v>
      </c>
      <c r="I86" s="7">
        <v>2777</v>
      </c>
      <c r="K86" s="172">
        <v>91.57</v>
      </c>
      <c r="L86" s="7">
        <v>127.4</v>
      </c>
      <c r="N86" s="172">
        <v>245.7</v>
      </c>
      <c r="O86" s="172">
        <v>607.9</v>
      </c>
      <c r="Q86" s="172">
        <v>149.9</v>
      </c>
      <c r="R86" s="172">
        <v>111.8</v>
      </c>
      <c r="T86" s="172">
        <v>391.8</v>
      </c>
      <c r="U86" s="172">
        <v>251</v>
      </c>
      <c r="V86" s="7" t="s">
        <v>635</v>
      </c>
      <c r="X86" s="47">
        <v>48.99</v>
      </c>
      <c r="Y86" s="172">
        <v>1.845</v>
      </c>
    </row>
    <row r="87" spans="2:25">
      <c r="B87" s="172">
        <v>973</v>
      </c>
      <c r="C87" s="9">
        <v>912.1</v>
      </c>
      <c r="E87" s="7">
        <v>923.4</v>
      </c>
      <c r="F87" s="7">
        <v>1213</v>
      </c>
      <c r="H87" s="7">
        <v>973</v>
      </c>
      <c r="I87" s="7">
        <v>2808</v>
      </c>
      <c r="K87" s="172">
        <v>102.7</v>
      </c>
      <c r="L87" s="7">
        <v>144.9</v>
      </c>
      <c r="N87" s="172">
        <v>256.3</v>
      </c>
      <c r="O87" s="172">
        <v>636</v>
      </c>
      <c r="Q87" s="172">
        <v>175.4</v>
      </c>
      <c r="R87" s="172">
        <v>117.9</v>
      </c>
      <c r="T87" s="172">
        <v>415.9</v>
      </c>
      <c r="U87" s="172">
        <v>257.5</v>
      </c>
      <c r="V87" s="7" t="s">
        <v>635</v>
      </c>
      <c r="X87" s="47">
        <v>50.45</v>
      </c>
      <c r="Y87" s="172">
        <v>2.0169999999999999</v>
      </c>
    </row>
    <row r="88" spans="2:25">
      <c r="B88" s="172">
        <v>1073</v>
      </c>
      <c r="C88" s="9">
        <v>926.8</v>
      </c>
      <c r="H88" s="7">
        <v>1023</v>
      </c>
      <c r="I88" s="7">
        <v>2842</v>
      </c>
      <c r="K88" s="172">
        <v>125.5</v>
      </c>
      <c r="L88" s="7">
        <v>174.2</v>
      </c>
      <c r="N88" s="172">
        <v>266.10000000000002</v>
      </c>
      <c r="O88" s="172">
        <v>660.7</v>
      </c>
      <c r="Q88" s="172">
        <v>201.4</v>
      </c>
      <c r="R88" s="172">
        <v>122.7</v>
      </c>
      <c r="T88" s="172">
        <v>421.3</v>
      </c>
      <c r="U88" s="172">
        <v>259.5</v>
      </c>
      <c r="V88" s="7" t="s">
        <v>635</v>
      </c>
      <c r="X88" s="47">
        <v>52.05</v>
      </c>
      <c r="Y88" s="172">
        <v>2.2589999999999999</v>
      </c>
    </row>
    <row r="89" spans="2:25">
      <c r="B89" s="172">
        <v>1173</v>
      </c>
      <c r="C89" s="9">
        <v>941.4</v>
      </c>
      <c r="H89" s="7">
        <v>1073</v>
      </c>
      <c r="I89" s="7">
        <v>2880</v>
      </c>
      <c r="K89" s="172">
        <v>150</v>
      </c>
      <c r="L89" s="7">
        <v>196.9</v>
      </c>
      <c r="N89" s="172">
        <v>276.10000000000002</v>
      </c>
      <c r="O89" s="172">
        <v>685.3</v>
      </c>
      <c r="Q89" s="172">
        <v>225.1</v>
      </c>
      <c r="R89" s="172">
        <v>126.1</v>
      </c>
      <c r="T89" s="172">
        <v>421.4</v>
      </c>
      <c r="U89" s="172">
        <v>258.89999999999998</v>
      </c>
      <c r="V89" s="7" t="s">
        <v>635</v>
      </c>
      <c r="X89" s="47">
        <v>53.98</v>
      </c>
      <c r="Y89" s="172">
        <v>2.5019999999999998</v>
      </c>
    </row>
    <row r="90" spans="2:25">
      <c r="B90" s="172">
        <v>1273</v>
      </c>
      <c r="C90" s="9">
        <v>958.1</v>
      </c>
      <c r="H90" s="7">
        <v>1123</v>
      </c>
      <c r="I90" s="7">
        <v>2922</v>
      </c>
      <c r="K90" s="172">
        <v>174.6</v>
      </c>
      <c r="L90" s="7">
        <v>212.2</v>
      </c>
      <c r="N90" s="172">
        <v>286.39999999999998</v>
      </c>
      <c r="O90" s="172">
        <v>708.4</v>
      </c>
      <c r="Q90" s="172">
        <v>250.2</v>
      </c>
      <c r="R90" s="172">
        <v>128.69999999999999</v>
      </c>
      <c r="T90" s="172">
        <v>428.9</v>
      </c>
      <c r="U90" s="172">
        <v>265.8</v>
      </c>
      <c r="V90" s="7" t="s">
        <v>635</v>
      </c>
      <c r="X90" s="47">
        <v>55.6</v>
      </c>
      <c r="Y90" s="172">
        <v>2.7360000000000002</v>
      </c>
    </row>
    <row r="91" spans="2:25">
      <c r="B91" s="172">
        <v>1373</v>
      </c>
      <c r="C91" s="9">
        <v>981.1</v>
      </c>
      <c r="H91" s="7">
        <v>1173</v>
      </c>
      <c r="I91" s="7">
        <v>2954</v>
      </c>
      <c r="K91" s="172">
        <v>200</v>
      </c>
      <c r="L91" s="7">
        <v>221.8</v>
      </c>
      <c r="N91" s="172">
        <v>296.2</v>
      </c>
      <c r="O91" s="172">
        <v>731.4</v>
      </c>
      <c r="Q91" s="172">
        <v>273.2</v>
      </c>
      <c r="R91" s="172">
        <v>132.69999999999999</v>
      </c>
      <c r="T91" s="172">
        <v>429.8</v>
      </c>
      <c r="U91" s="172">
        <v>267.10000000000002</v>
      </c>
      <c r="V91" s="7" t="s">
        <v>634</v>
      </c>
      <c r="X91" s="47">
        <v>57.33</v>
      </c>
      <c r="Y91" s="172">
        <v>3.0169999999999999</v>
      </c>
    </row>
    <row r="92" spans="2:25">
      <c r="B92" t="s">
        <v>547</v>
      </c>
      <c r="K92" s="172">
        <v>250</v>
      </c>
      <c r="L92" s="7">
        <v>238.5</v>
      </c>
      <c r="N92" s="172">
        <v>298.2</v>
      </c>
      <c r="O92" s="172">
        <v>733.9</v>
      </c>
      <c r="Q92" s="172">
        <v>300</v>
      </c>
      <c r="R92" s="172">
        <v>133.30000000000001</v>
      </c>
      <c r="T92" s="172">
        <v>429.9</v>
      </c>
      <c r="U92" s="172">
        <v>265.8</v>
      </c>
      <c r="V92" s="7" t="s">
        <v>634</v>
      </c>
      <c r="X92" s="47">
        <v>58.96</v>
      </c>
      <c r="Y92" s="172">
        <v>3.2930000000000001</v>
      </c>
    </row>
    <row r="93" spans="2:25">
      <c r="B93" t="s">
        <v>548</v>
      </c>
      <c r="K93" s="172">
        <v>300</v>
      </c>
      <c r="L93" s="7">
        <v>248.1</v>
      </c>
      <c r="N93" s="172">
        <v>300</v>
      </c>
      <c r="O93" s="172">
        <v>739.3</v>
      </c>
      <c r="Q93" s="172">
        <v>400</v>
      </c>
      <c r="R93" s="172">
        <v>135.6</v>
      </c>
      <c r="T93" s="172">
        <v>430.1</v>
      </c>
      <c r="U93" s="172">
        <v>264.60000000000002</v>
      </c>
      <c r="V93" s="7" t="s">
        <v>634</v>
      </c>
      <c r="X93" s="47">
        <v>60.54</v>
      </c>
      <c r="Y93" s="172">
        <v>3.6070000000000002</v>
      </c>
    </row>
    <row r="94" spans="2:25">
      <c r="K94" s="172">
        <v>400</v>
      </c>
      <c r="L94" s="7">
        <v>259.8</v>
      </c>
      <c r="N94" s="172">
        <v>350</v>
      </c>
      <c r="O94" s="172">
        <v>851</v>
      </c>
      <c r="Q94" s="172">
        <v>500</v>
      </c>
      <c r="R94" s="172">
        <v>137.9</v>
      </c>
      <c r="T94" s="172">
        <v>430.7</v>
      </c>
      <c r="U94" s="172">
        <v>261.89999999999998</v>
      </c>
      <c r="V94" s="7" t="s">
        <v>634</v>
      </c>
      <c r="X94" s="47">
        <v>62.19</v>
      </c>
      <c r="Y94" s="172">
        <v>3.9409999999999998</v>
      </c>
    </row>
    <row r="95" spans="2:25">
      <c r="K95" s="172">
        <v>500</v>
      </c>
      <c r="L95" s="7">
        <v>263.2</v>
      </c>
      <c r="N95" s="172">
        <v>400</v>
      </c>
      <c r="O95" s="172">
        <v>925.1</v>
      </c>
      <c r="Q95" s="172">
        <v>600</v>
      </c>
      <c r="R95" s="172">
        <v>140.30000000000001</v>
      </c>
      <c r="T95" s="172">
        <v>431</v>
      </c>
      <c r="U95" s="172">
        <v>260.10000000000002</v>
      </c>
      <c r="V95" s="7" t="s">
        <v>634</v>
      </c>
      <c r="X95" s="47">
        <v>63.65</v>
      </c>
      <c r="Y95" s="172">
        <v>4.3140000000000001</v>
      </c>
    </row>
    <row r="96" spans="2:25">
      <c r="K96" s="172">
        <v>600</v>
      </c>
      <c r="L96" s="7">
        <v>267.39999999999998</v>
      </c>
      <c r="N96" s="172">
        <v>450</v>
      </c>
      <c r="O96" s="172">
        <v>977</v>
      </c>
      <c r="Q96" s="172">
        <v>700</v>
      </c>
      <c r="R96" s="172">
        <v>142.69999999999999</v>
      </c>
      <c r="T96" s="172">
        <v>434.4</v>
      </c>
      <c r="U96" s="172">
        <v>258.8</v>
      </c>
      <c r="V96" s="7" t="s">
        <v>634</v>
      </c>
      <c r="X96" s="47">
        <v>65.39</v>
      </c>
      <c r="Y96" s="172">
        <v>4.7030000000000003</v>
      </c>
    </row>
    <row r="97" spans="11:25">
      <c r="K97" s="172">
        <v>700</v>
      </c>
      <c r="L97" s="7">
        <v>272</v>
      </c>
      <c r="N97" s="172">
        <v>500</v>
      </c>
      <c r="O97" s="172">
        <v>1016</v>
      </c>
      <c r="Q97" s="172">
        <v>800</v>
      </c>
      <c r="R97" s="172">
        <v>145.1</v>
      </c>
      <c r="T97" s="172">
        <v>440.9</v>
      </c>
      <c r="U97" s="172">
        <v>258</v>
      </c>
      <c r="V97" s="7" t="s">
        <v>634</v>
      </c>
      <c r="X97" s="47">
        <v>66.75</v>
      </c>
      <c r="Y97" s="172">
        <v>4.9960000000000004</v>
      </c>
    </row>
    <row r="98" spans="11:25">
      <c r="K98" s="172">
        <v>800</v>
      </c>
      <c r="L98" s="7">
        <v>276.10000000000002</v>
      </c>
      <c r="N98" s="172">
        <v>550</v>
      </c>
      <c r="O98" s="172">
        <v>1045</v>
      </c>
      <c r="Q98" s="172">
        <v>900</v>
      </c>
      <c r="R98" s="172">
        <v>147.5</v>
      </c>
      <c r="T98" s="172">
        <v>459.1</v>
      </c>
      <c r="U98" s="172">
        <v>257.39999999999998</v>
      </c>
      <c r="V98" s="7" t="s">
        <v>634</v>
      </c>
      <c r="X98" s="47">
        <v>68.59</v>
      </c>
      <c r="Y98" s="172">
        <v>5.4850000000000003</v>
      </c>
    </row>
    <row r="99" spans="11:25">
      <c r="K99" s="172">
        <v>900</v>
      </c>
      <c r="L99" s="7">
        <v>282.39999999999998</v>
      </c>
      <c r="N99" s="172">
        <v>600</v>
      </c>
      <c r="O99" s="172">
        <v>1068</v>
      </c>
      <c r="Q99" s="172">
        <v>1000</v>
      </c>
      <c r="R99" s="172">
        <v>149.9</v>
      </c>
      <c r="T99" s="172">
        <v>499.3</v>
      </c>
      <c r="U99" s="172">
        <v>256.7</v>
      </c>
      <c r="V99" s="7" t="s">
        <v>634</v>
      </c>
      <c r="X99" s="47">
        <v>69.36</v>
      </c>
      <c r="Y99" s="172">
        <v>5.4390000000000001</v>
      </c>
    </row>
    <row r="100" spans="11:25">
      <c r="K100" s="172">
        <v>1000</v>
      </c>
      <c r="L100" s="7">
        <v>287.89999999999998</v>
      </c>
      <c r="N100" s="172">
        <v>650</v>
      </c>
      <c r="O100" s="172">
        <v>1087</v>
      </c>
      <c r="Q100" s="172">
        <v>1100</v>
      </c>
      <c r="R100" s="172">
        <v>152.4</v>
      </c>
      <c r="T100" s="172">
        <v>598</v>
      </c>
      <c r="U100" s="172">
        <v>255.8</v>
      </c>
      <c r="V100" s="7" t="s">
        <v>634</v>
      </c>
      <c r="X100" s="47">
        <v>73.2</v>
      </c>
      <c r="Y100" s="172">
        <v>6.1920000000000002</v>
      </c>
    </row>
    <row r="101" spans="11:25">
      <c r="K101" s="172">
        <v>1100</v>
      </c>
      <c r="L101" s="7">
        <v>294.10000000000002</v>
      </c>
      <c r="N101" s="172">
        <v>700</v>
      </c>
      <c r="O101" s="172">
        <v>1103</v>
      </c>
      <c r="Q101" s="172">
        <v>1200</v>
      </c>
      <c r="R101" s="172">
        <v>154.80000000000001</v>
      </c>
      <c r="T101" s="172">
        <v>682.2</v>
      </c>
      <c r="U101" s="172">
        <v>254.7</v>
      </c>
      <c r="V101" s="7" t="s">
        <v>634</v>
      </c>
      <c r="X101" s="47">
        <v>74.91</v>
      </c>
      <c r="Y101" s="172">
        <v>7.1130000000000004</v>
      </c>
    </row>
    <row r="102" spans="11:25">
      <c r="K102" s="172">
        <v>1200</v>
      </c>
      <c r="L102" s="7">
        <v>301.7</v>
      </c>
      <c r="N102" s="172">
        <v>750</v>
      </c>
      <c r="O102" s="172">
        <v>1117</v>
      </c>
      <c r="Q102" s="172">
        <v>1300</v>
      </c>
      <c r="R102" s="172">
        <v>157.4</v>
      </c>
      <c r="T102" s="172">
        <v>800.6</v>
      </c>
      <c r="U102" s="172">
        <v>252.5</v>
      </c>
      <c r="V102" s="7" t="s">
        <v>634</v>
      </c>
      <c r="X102" s="47">
        <v>76.16</v>
      </c>
      <c r="Y102" s="172">
        <v>7.74</v>
      </c>
    </row>
    <row r="103" spans="11:25">
      <c r="K103" s="172">
        <v>1300</v>
      </c>
      <c r="L103" s="7">
        <v>309.60000000000002</v>
      </c>
      <c r="N103" s="172">
        <v>800</v>
      </c>
      <c r="O103" s="172">
        <v>1129</v>
      </c>
      <c r="Q103" s="172">
        <v>1400</v>
      </c>
      <c r="R103" s="172">
        <v>159.9</v>
      </c>
      <c r="X103" s="47">
        <v>79.569999999999993</v>
      </c>
      <c r="Y103" s="172">
        <v>9.0790000000000006</v>
      </c>
    </row>
    <row r="104" spans="11:25">
      <c r="K104" s="172">
        <v>1400</v>
      </c>
      <c r="L104" s="7">
        <v>319.7</v>
      </c>
      <c r="N104" s="172">
        <v>850</v>
      </c>
      <c r="O104" s="172">
        <v>1140</v>
      </c>
      <c r="Q104" s="172">
        <v>1500</v>
      </c>
      <c r="R104" s="172">
        <v>162.4</v>
      </c>
      <c r="X104" s="47">
        <v>82.36</v>
      </c>
      <c r="Y104" s="172">
        <v>10.71</v>
      </c>
    </row>
    <row r="105" spans="11:25">
      <c r="K105" s="172">
        <v>1500</v>
      </c>
      <c r="L105" s="7">
        <v>328.9</v>
      </c>
      <c r="N105" s="172">
        <v>900</v>
      </c>
      <c r="O105" s="172">
        <v>1149</v>
      </c>
      <c r="Q105" s="172">
        <v>1600</v>
      </c>
      <c r="R105" s="172">
        <v>165</v>
      </c>
      <c r="X105" s="47">
        <v>87.34</v>
      </c>
      <c r="Y105" s="172">
        <v>12.43</v>
      </c>
    </row>
    <row r="106" spans="11:25">
      <c r="K106" s="172">
        <v>1600</v>
      </c>
      <c r="L106" s="7">
        <v>339.7</v>
      </c>
      <c r="N106" s="172">
        <v>950</v>
      </c>
      <c r="O106" s="172">
        <v>1158</v>
      </c>
      <c r="Q106" s="172">
        <v>1700</v>
      </c>
      <c r="R106" s="172">
        <v>167.6</v>
      </c>
      <c r="X106" s="47">
        <v>93.7</v>
      </c>
      <c r="Y106" s="172">
        <v>16.649999999999999</v>
      </c>
    </row>
    <row r="107" spans="11:25">
      <c r="K107" s="172">
        <v>1700</v>
      </c>
      <c r="L107" s="7">
        <v>350.6</v>
      </c>
      <c r="N107" s="172">
        <v>1000</v>
      </c>
      <c r="O107" s="172">
        <v>1166</v>
      </c>
      <c r="Q107" s="172">
        <v>1800</v>
      </c>
      <c r="R107" s="172">
        <v>170.2</v>
      </c>
      <c r="X107" s="47">
        <v>100.3</v>
      </c>
      <c r="Y107" s="172">
        <v>20.079999999999998</v>
      </c>
    </row>
    <row r="108" spans="11:25">
      <c r="K108" s="172">
        <v>1800</v>
      </c>
      <c r="L108" s="7">
        <v>363.2</v>
      </c>
      <c r="N108" s="172">
        <v>1050</v>
      </c>
      <c r="O108" s="172">
        <v>1174</v>
      </c>
      <c r="Q108" s="172">
        <v>1900</v>
      </c>
      <c r="R108" s="172">
        <v>172.8</v>
      </c>
      <c r="X108" s="47">
        <v>106.7</v>
      </c>
      <c r="Y108" s="172">
        <v>26.44</v>
      </c>
    </row>
    <row r="109" spans="11:25">
      <c r="K109" s="172">
        <v>1900</v>
      </c>
      <c r="L109" s="7">
        <v>374.9</v>
      </c>
      <c r="N109" s="172">
        <v>1100</v>
      </c>
      <c r="O109" s="172">
        <v>1180</v>
      </c>
      <c r="Q109" s="172">
        <v>2000</v>
      </c>
      <c r="R109" s="172">
        <v>175.4</v>
      </c>
      <c r="X109" s="47">
        <v>112.7</v>
      </c>
      <c r="Y109" s="172">
        <v>32.51</v>
      </c>
    </row>
    <row r="110" spans="11:25">
      <c r="K110" s="172">
        <v>2000</v>
      </c>
      <c r="L110" s="7">
        <v>388.3</v>
      </c>
      <c r="N110" s="172">
        <v>1150</v>
      </c>
      <c r="O110" s="172">
        <v>1187</v>
      </c>
      <c r="Q110" s="172">
        <v>2100</v>
      </c>
      <c r="R110" s="172">
        <v>178.1</v>
      </c>
      <c r="X110" s="47">
        <v>118</v>
      </c>
      <c r="Y110" s="172">
        <v>36.61</v>
      </c>
    </row>
    <row r="111" spans="11:25">
      <c r="K111" s="172">
        <v>2100</v>
      </c>
      <c r="L111" s="7">
        <v>403.8</v>
      </c>
      <c r="N111" s="172">
        <v>1200</v>
      </c>
      <c r="O111" s="172">
        <v>1193</v>
      </c>
      <c r="Q111" s="172">
        <v>2200</v>
      </c>
      <c r="R111" s="172">
        <v>180.8</v>
      </c>
      <c r="X111" s="47">
        <v>123.4</v>
      </c>
      <c r="Y111" s="172">
        <v>43.1</v>
      </c>
    </row>
    <row r="112" spans="11:25">
      <c r="K112" s="172">
        <v>2200</v>
      </c>
      <c r="L112" s="7">
        <v>418.4</v>
      </c>
      <c r="Q112" s="172">
        <v>2300</v>
      </c>
      <c r="R112" s="172">
        <v>183.5</v>
      </c>
      <c r="X112" s="47">
        <v>129.1</v>
      </c>
      <c r="Y112" s="172">
        <v>50.63</v>
      </c>
    </row>
    <row r="113" spans="11:25">
      <c r="K113" s="172">
        <v>2300</v>
      </c>
      <c r="L113" s="7">
        <v>435.1</v>
      </c>
      <c r="Q113" s="172">
        <v>2400</v>
      </c>
      <c r="R113" s="172">
        <v>186.2</v>
      </c>
      <c r="X113" s="47">
        <v>134.80000000000001</v>
      </c>
      <c r="Y113" s="172">
        <v>58.58</v>
      </c>
    </row>
    <row r="114" spans="11:25">
      <c r="K114" s="172">
        <v>2400</v>
      </c>
      <c r="L114" s="7">
        <v>456.1</v>
      </c>
      <c r="Q114" s="172">
        <v>2500</v>
      </c>
      <c r="R114" s="172">
        <v>188.9</v>
      </c>
      <c r="X114" s="47">
        <v>141.4</v>
      </c>
      <c r="Y114" s="172">
        <v>68.62</v>
      </c>
    </row>
    <row r="115" spans="11:25">
      <c r="K115" s="172">
        <v>2500</v>
      </c>
      <c r="L115" s="7">
        <v>481.2</v>
      </c>
      <c r="Q115" s="172">
        <v>2600</v>
      </c>
      <c r="R115" s="172">
        <v>191.7</v>
      </c>
      <c r="X115" s="47">
        <v>146.6</v>
      </c>
      <c r="Y115" s="172">
        <v>77.819999999999993</v>
      </c>
    </row>
    <row r="116" spans="11:25">
      <c r="K116" s="172">
        <v>2600</v>
      </c>
      <c r="L116" s="7">
        <v>510.4</v>
      </c>
      <c r="X116" s="47">
        <v>152.6</v>
      </c>
      <c r="Y116" s="172">
        <v>88.7</v>
      </c>
    </row>
    <row r="117" spans="11:25">
      <c r="K117" s="172">
        <v>2700</v>
      </c>
      <c r="L117" s="7">
        <v>543.9</v>
      </c>
      <c r="X117" s="47">
        <v>158.5</v>
      </c>
      <c r="Y117" s="172">
        <v>100.4</v>
      </c>
    </row>
    <row r="118" spans="11:25">
      <c r="K118" s="172">
        <v>2800</v>
      </c>
      <c r="L118" s="7">
        <v>581.6</v>
      </c>
      <c r="X118" s="47">
        <v>164.1</v>
      </c>
      <c r="Y118" s="172">
        <v>113</v>
      </c>
    </row>
    <row r="119" spans="11:25">
      <c r="K119" s="172">
        <v>2860</v>
      </c>
      <c r="L119" s="7">
        <v>606.70000000000005</v>
      </c>
      <c r="X119" s="47">
        <v>169.5</v>
      </c>
      <c r="Y119" s="172">
        <v>121.8</v>
      </c>
    </row>
    <row r="120" spans="11:25">
      <c r="X120" s="47">
        <v>175.1</v>
      </c>
      <c r="Y120" s="172">
        <v>131.4</v>
      </c>
    </row>
    <row r="121" spans="11:25">
      <c r="X121" s="47">
        <v>179.8</v>
      </c>
      <c r="Y121" s="172">
        <v>146</v>
      </c>
    </row>
    <row r="122" spans="11:25">
      <c r="X122" s="47">
        <v>185.3</v>
      </c>
      <c r="Y122" s="172">
        <v>158.19999999999999</v>
      </c>
    </row>
    <row r="123" spans="11:25">
      <c r="X123" s="47">
        <v>191.1</v>
      </c>
      <c r="Y123" s="172">
        <v>173.2</v>
      </c>
    </row>
    <row r="124" spans="11:25">
      <c r="X124" s="47">
        <v>196</v>
      </c>
      <c r="Y124" s="172">
        <v>185.4</v>
      </c>
    </row>
    <row r="125" spans="11:25">
      <c r="X125" s="47">
        <v>200.3</v>
      </c>
      <c r="Y125" s="172">
        <v>195.8</v>
      </c>
    </row>
    <row r="126" spans="11:25">
      <c r="X126" s="47">
        <v>205.8</v>
      </c>
      <c r="Y126" s="172">
        <v>211.3</v>
      </c>
    </row>
    <row r="127" spans="11:25">
      <c r="X127" s="47">
        <v>210.9</v>
      </c>
      <c r="Y127" s="172">
        <v>224.3</v>
      </c>
    </row>
    <row r="128" spans="11:25">
      <c r="X128" s="47">
        <v>213.1</v>
      </c>
      <c r="Y128" s="172">
        <v>230.1</v>
      </c>
    </row>
    <row r="129" spans="24:25">
      <c r="X129" s="47">
        <v>216.7</v>
      </c>
      <c r="Y129" s="172">
        <v>241.8</v>
      </c>
    </row>
    <row r="130" spans="24:25">
      <c r="X130" s="47">
        <v>226.8</v>
      </c>
      <c r="Y130" s="172">
        <v>273.60000000000002</v>
      </c>
    </row>
    <row r="131" spans="24:25">
      <c r="X131" s="47">
        <v>231.8</v>
      </c>
      <c r="Y131" s="172">
        <v>283.3</v>
      </c>
    </row>
    <row r="132" spans="24:25">
      <c r="X132" s="47">
        <v>236.8</v>
      </c>
      <c r="Y132" s="172">
        <v>301.3</v>
      </c>
    </row>
    <row r="133" spans="24:25">
      <c r="X133" s="47">
        <v>241.9</v>
      </c>
      <c r="Y133" s="172">
        <v>318.8</v>
      </c>
    </row>
    <row r="134" spans="24:25">
      <c r="X134" s="47">
        <v>246.4</v>
      </c>
      <c r="Y134" s="172">
        <v>329.7</v>
      </c>
    </row>
    <row r="135" spans="24:25">
      <c r="X135" s="47">
        <v>250.8</v>
      </c>
      <c r="Y135" s="172">
        <v>344.8</v>
      </c>
    </row>
    <row r="136" spans="24:25">
      <c r="X136" s="47">
        <v>257.10000000000002</v>
      </c>
      <c r="Y136" s="172">
        <v>365.3</v>
      </c>
    </row>
    <row r="137" spans="24:25">
      <c r="X137" s="47">
        <v>266</v>
      </c>
      <c r="Y137" s="172">
        <v>398.3</v>
      </c>
    </row>
    <row r="138" spans="24:25">
      <c r="X138" s="47">
        <v>271.60000000000002</v>
      </c>
      <c r="Y138" s="172">
        <v>418.4</v>
      </c>
    </row>
    <row r="139" spans="24:25">
      <c r="X139" s="47">
        <v>277.5</v>
      </c>
      <c r="Y139" s="172">
        <v>436.4</v>
      </c>
    </row>
    <row r="140" spans="24:25">
      <c r="X140" s="47">
        <v>281.3</v>
      </c>
      <c r="Y140" s="172">
        <v>451.5</v>
      </c>
    </row>
    <row r="141" spans="24:25">
      <c r="X141" s="47">
        <v>285.2</v>
      </c>
      <c r="Y141" s="172">
        <v>467.8</v>
      </c>
    </row>
    <row r="142" spans="24:25">
      <c r="X142" s="47">
        <v>290.8</v>
      </c>
      <c r="Y142" s="172">
        <v>480.7</v>
      </c>
    </row>
    <row r="143" spans="24:25">
      <c r="X143" s="47">
        <v>293.5</v>
      </c>
      <c r="Y143" s="172">
        <v>490.4</v>
      </c>
    </row>
    <row r="144" spans="24:25">
      <c r="X144" s="47">
        <v>299.10000000000002</v>
      </c>
      <c r="Y144" s="172">
        <v>512.1</v>
      </c>
    </row>
    <row r="145" spans="24:25">
      <c r="X145" s="47">
        <v>300</v>
      </c>
      <c r="Y145" s="172">
        <v>515.9</v>
      </c>
    </row>
    <row r="146" spans="24:25">
      <c r="X146" s="47">
        <v>320</v>
      </c>
      <c r="Y146" s="172">
        <v>585.29999999999995</v>
      </c>
    </row>
    <row r="147" spans="24:25">
      <c r="X147" s="47">
        <v>340</v>
      </c>
      <c r="Y147" s="172">
        <v>654.79999999999995</v>
      </c>
    </row>
    <row r="148" spans="24:25">
      <c r="X148" s="47">
        <v>360</v>
      </c>
      <c r="Y148" s="172">
        <v>722.6</v>
      </c>
    </row>
    <row r="149" spans="24:25">
      <c r="X149" s="47">
        <v>380</v>
      </c>
      <c r="Y149" s="172">
        <v>789.1</v>
      </c>
    </row>
    <row r="150" spans="24:25">
      <c r="X150" s="47">
        <v>400</v>
      </c>
      <c r="Y150" s="172">
        <v>852.7</v>
      </c>
    </row>
    <row r="151" spans="24:25">
      <c r="X151" s="47">
        <v>420</v>
      </c>
      <c r="Y151" s="172">
        <v>913.8</v>
      </c>
    </row>
    <row r="152" spans="24:25">
      <c r="X152" s="47">
        <v>440</v>
      </c>
      <c r="Y152" s="172">
        <v>971.9</v>
      </c>
    </row>
    <row r="153" spans="24:25">
      <c r="X153" s="47">
        <v>460</v>
      </c>
      <c r="Y153" s="172">
        <v>1028</v>
      </c>
    </row>
    <row r="154" spans="24:25">
      <c r="X154" s="47">
        <v>480</v>
      </c>
      <c r="Y154" s="172">
        <v>1080</v>
      </c>
    </row>
    <row r="155" spans="24:25">
      <c r="X155" s="47">
        <v>500</v>
      </c>
      <c r="Y155" s="172">
        <v>1131</v>
      </c>
    </row>
    <row r="156" spans="24:25">
      <c r="X156" s="47">
        <v>550</v>
      </c>
      <c r="Y156" s="172">
        <v>1244</v>
      </c>
    </row>
    <row r="157" spans="24:25">
      <c r="X157" s="47">
        <v>600</v>
      </c>
      <c r="Y157" s="172">
        <v>1343</v>
      </c>
    </row>
    <row r="158" spans="24:25">
      <c r="X158" s="47">
        <v>650</v>
      </c>
      <c r="Y158" s="172">
        <v>1429</v>
      </c>
    </row>
    <row r="159" spans="24:25">
      <c r="X159" s="47">
        <v>700</v>
      </c>
      <c r="Y159" s="172">
        <v>1503</v>
      </c>
    </row>
    <row r="160" spans="24:25">
      <c r="X160" s="47">
        <v>750</v>
      </c>
      <c r="Y160" s="172">
        <v>1568</v>
      </c>
    </row>
    <row r="161" spans="24:25">
      <c r="X161" s="47">
        <v>800</v>
      </c>
      <c r="Y161" s="172">
        <v>1625</v>
      </c>
    </row>
    <row r="162" spans="24:25">
      <c r="X162" s="47">
        <v>850</v>
      </c>
      <c r="Y162" s="172">
        <v>1674</v>
      </c>
    </row>
    <row r="163" spans="24:25">
      <c r="X163" s="47">
        <v>900</v>
      </c>
      <c r="Y163" s="172">
        <v>1720</v>
      </c>
    </row>
    <row r="164" spans="24:25">
      <c r="X164" s="47">
        <v>950</v>
      </c>
      <c r="Y164" s="172">
        <v>1761</v>
      </c>
    </row>
    <row r="165" spans="24:25">
      <c r="X165" s="47">
        <v>1000</v>
      </c>
      <c r="Y165" s="172">
        <v>1800</v>
      </c>
    </row>
    <row r="166" spans="24:25">
      <c r="X166" s="47">
        <v>1050</v>
      </c>
      <c r="Y166" s="172">
        <v>1838</v>
      </c>
    </row>
    <row r="167" spans="24:25">
      <c r="X167" s="47">
        <v>1100</v>
      </c>
      <c r="Y167" s="172">
        <v>1876</v>
      </c>
    </row>
  </sheetData>
  <mergeCells count="17">
    <mergeCell ref="U30:V30"/>
    <mergeCell ref="B49:C49"/>
    <mergeCell ref="C2:I2"/>
    <mergeCell ref="B15:C15"/>
    <mergeCell ref="C30:T30"/>
    <mergeCell ref="E15:F15"/>
    <mergeCell ref="H15:I15"/>
    <mergeCell ref="M15:N15"/>
    <mergeCell ref="P15:Q15"/>
    <mergeCell ref="B61:C61"/>
    <mergeCell ref="E61:F61"/>
    <mergeCell ref="H61:I61"/>
    <mergeCell ref="K61:L61"/>
    <mergeCell ref="X61:Y61"/>
    <mergeCell ref="N61:O61"/>
    <mergeCell ref="Q61:R61"/>
    <mergeCell ref="T61:V61"/>
  </mergeCells>
  <phoneticPr fontId="0" type="noConversion"/>
  <hyperlinks>
    <hyperlink ref="C30:T30" r:id="rId1" display="Cp=10^(a+blogT+c(logT)^2+d(logT)^3+e(logT)^4+f(logT)^5+g(logT)^6+h(logT)^7+i(logT)^8)  (J/kg/K) (Reference 72)"/>
    <hyperlink ref="B15:C15" r:id="rId2" display="SiC (Rohm-Haas) (Ref 78)"/>
    <hyperlink ref="U30:V30" r:id="rId3" display="Ref (79)"/>
    <hyperlink ref="B49" r:id="rId4"/>
    <hyperlink ref="E15:F15" r:id="rId5" display="SiC (SSG) (Ref 88)"/>
    <hyperlink ref="H15:I15" r:id="rId6" display="POCO SuperSiC-1 (Ref 92)"/>
    <hyperlink ref="M15:N15" r:id="rId7" display="POCO SuperSiC-5 (Ref 92)"/>
    <hyperlink ref="B61:C61" r:id="rId8" display="Si (Ref 96)"/>
    <hyperlink ref="E61:F61" r:id="rId9" display="Si (Ref 96)"/>
    <hyperlink ref="H61:I61" r:id="rId10" display="Si (Ref 96)"/>
    <hyperlink ref="K61:L61" r:id="rId11" display="Si (Ref 96)"/>
    <hyperlink ref="N61:O61" r:id="rId12" display="Si (Ref 96)"/>
    <hyperlink ref="Q61:R61" r:id="rId13" display="Si (Ref 96)"/>
    <hyperlink ref="T61:U61" r:id="rId14" display="Si (Ref 96)"/>
    <hyperlink ref="T61:V61" r:id="rId15" display="In (Ref 96)"/>
    <hyperlink ref="X61:Y61" r:id="rId16" display="Diamond (Ref 96)"/>
    <hyperlink ref="P15:Q15" r:id="rId17" display="SiC (Cesic) (Ref 99)"/>
  </hyperlinks>
  <pageMargins left="0.75" right="0.75" top="1" bottom="1" header="0.5" footer="0.5"/>
  <pageSetup orientation="landscape" r:id="rId18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B3:AE36"/>
  <sheetViews>
    <sheetView topLeftCell="C1" workbookViewId="0">
      <selection activeCell="R31" sqref="R31"/>
    </sheetView>
  </sheetViews>
  <sheetFormatPr defaultRowHeight="12.75"/>
  <cols>
    <col min="2" max="2" width="10.7109375" bestFit="1" customWidth="1"/>
    <col min="3" max="4" width="11.140625" bestFit="1" customWidth="1"/>
    <col min="6" max="6" width="11.140625" bestFit="1" customWidth="1"/>
    <col min="16" max="16" width="12.85546875" bestFit="1" customWidth="1"/>
    <col min="17" max="17" width="12.28515625" bestFit="1" customWidth="1"/>
    <col min="18" max="18" width="13.5703125" bestFit="1" customWidth="1"/>
  </cols>
  <sheetData>
    <row r="3" spans="2:14">
      <c r="C3" s="271" t="s">
        <v>505</v>
      </c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</row>
    <row r="4" spans="2:14" ht="51">
      <c r="B4" s="62" t="s">
        <v>337</v>
      </c>
      <c r="C4" s="62" t="s">
        <v>312</v>
      </c>
      <c r="D4" s="62" t="s">
        <v>504</v>
      </c>
      <c r="E4" s="160" t="s">
        <v>351</v>
      </c>
      <c r="F4" s="160" t="s">
        <v>351</v>
      </c>
      <c r="G4" s="79" t="s">
        <v>355</v>
      </c>
      <c r="H4" s="79" t="s">
        <v>356</v>
      </c>
      <c r="I4" s="79" t="s">
        <v>356</v>
      </c>
      <c r="J4" s="91" t="s">
        <v>364</v>
      </c>
      <c r="K4" s="92" t="s">
        <v>369</v>
      </c>
      <c r="L4" s="92" t="s">
        <v>370</v>
      </c>
      <c r="M4" s="92" t="s">
        <v>371</v>
      </c>
      <c r="N4" s="92" t="s">
        <v>372</v>
      </c>
    </row>
    <row r="5" spans="2:14">
      <c r="B5" s="140" t="s">
        <v>339</v>
      </c>
      <c r="C5" s="133">
        <v>77.712209999999999</v>
      </c>
      <c r="D5" s="133">
        <v>80.832120000000003</v>
      </c>
      <c r="E5" s="133">
        <v>209.81450000000001</v>
      </c>
      <c r="F5" s="133">
        <v>210.05930000000001</v>
      </c>
      <c r="G5" s="133">
        <v>206.65880000000001</v>
      </c>
      <c r="H5" s="133">
        <v>208.47290000000001</v>
      </c>
      <c r="I5" s="133">
        <v>207.94880000000001</v>
      </c>
      <c r="J5" s="133">
        <v>141.565</v>
      </c>
      <c r="K5" s="133">
        <v>217.65600000000001</v>
      </c>
      <c r="L5" s="133">
        <v>215.351</v>
      </c>
      <c r="M5" s="133">
        <v>209.18199999999999</v>
      </c>
      <c r="N5" s="133">
        <v>205.33500000000001</v>
      </c>
    </row>
    <row r="6" spans="2:14">
      <c r="B6" s="140" t="s">
        <v>340</v>
      </c>
      <c r="C6" s="133">
        <v>1.030646E-2</v>
      </c>
      <c r="D6" s="133">
        <v>1.0617079999999999E-2</v>
      </c>
      <c r="E6" s="133">
        <v>0.1217019</v>
      </c>
      <c r="F6" s="133">
        <v>0.15348829999999999</v>
      </c>
      <c r="G6" s="133">
        <v>6.3751290000000002E-3</v>
      </c>
      <c r="H6" s="133">
        <v>-0.1358965</v>
      </c>
      <c r="I6" s="133">
        <v>0.73942410000000003</v>
      </c>
      <c r="J6" s="133">
        <v>2.5443500000000001E-2</v>
      </c>
      <c r="K6" s="133">
        <v>1.1192300000000001E-2</v>
      </c>
      <c r="L6" s="133">
        <v>1.04624E-2</v>
      </c>
      <c r="M6" s="133">
        <v>1.6697400000000001E-2</v>
      </c>
      <c r="N6" s="133">
        <v>1.7483499999999999E-2</v>
      </c>
    </row>
    <row r="7" spans="2:14">
      <c r="B7" s="140" t="s">
        <v>349</v>
      </c>
      <c r="C7" s="133">
        <v>-2.9241E-4</v>
      </c>
      <c r="D7" s="133">
        <v>-3.0161000000000001E-4</v>
      </c>
      <c r="E7" s="133">
        <v>-1.1469989999999999E-2</v>
      </c>
      <c r="F7" s="133">
        <v>-1.61739E-3</v>
      </c>
      <c r="G7" s="133">
        <v>-4.3451999999999998E-4</v>
      </c>
      <c r="H7" s="133">
        <v>8.3686290000000007E-3</v>
      </c>
      <c r="I7" s="133">
        <v>-9.6272000000000003E-4</v>
      </c>
      <c r="J7" s="133">
        <v>-1.0084200000000001E-3</v>
      </c>
      <c r="K7" s="133">
        <v>-3.5464999999999997E-4</v>
      </c>
      <c r="L7" s="133">
        <v>-3.5571000000000002E-4</v>
      </c>
      <c r="M7" s="133">
        <v>-2.0641E-4</v>
      </c>
      <c r="N7" s="133">
        <v>-3.6576000000000002E-4</v>
      </c>
    </row>
    <row r="8" spans="2:14">
      <c r="B8" s="140" t="s">
        <v>341</v>
      </c>
      <c r="C8" s="133">
        <v>8.9935999999999997E-7</v>
      </c>
      <c r="D8" s="133">
        <v>7.5613400000000004E-7</v>
      </c>
      <c r="E8" s="133">
        <v>3.6054300000000001E-4</v>
      </c>
      <c r="F8" s="133">
        <v>5.1170600000000003E-6</v>
      </c>
      <c r="G8" s="133">
        <v>1.12993E-6</v>
      </c>
      <c r="H8" s="133">
        <v>-1.3816999999999999E-4</v>
      </c>
      <c r="I8" s="133">
        <v>2.8455600000000001E-6</v>
      </c>
      <c r="J8" s="133">
        <v>6.7279700000000002E-6</v>
      </c>
      <c r="K8" s="133">
        <v>8.3116800000000005E-7</v>
      </c>
      <c r="L8" s="133">
        <v>8.9497000000000003E-7</v>
      </c>
      <c r="M8" s="133">
        <v>-1.8236E-7</v>
      </c>
      <c r="N8" s="133">
        <v>8.7154500000000001E-7</v>
      </c>
    </row>
    <row r="9" spans="2:14">
      <c r="B9" s="140" t="s">
        <v>342</v>
      </c>
      <c r="C9" s="133">
        <v>-1.0709000000000001E-9</v>
      </c>
      <c r="D9" s="133">
        <v>-6.9948000000000005E-10</v>
      </c>
      <c r="E9" s="133">
        <v>-3.0178999999999999E-6</v>
      </c>
      <c r="F9" s="133">
        <v>-6.1546000000000002E-9</v>
      </c>
      <c r="G9" s="133">
        <v>-1.1915999999999999E-9</v>
      </c>
      <c r="H9" s="133">
        <v>6.83193E-7</v>
      </c>
      <c r="I9" s="133">
        <v>-3.2407999999999998E-9</v>
      </c>
      <c r="J9" s="133">
        <v>-1.0823E-8</v>
      </c>
      <c r="K9" s="133">
        <v>-7.0367999999999999E-10</v>
      </c>
      <c r="L9" s="133">
        <v>-8.4863999999999998E-10</v>
      </c>
      <c r="M9" s="133">
        <v>9.27168E-10</v>
      </c>
      <c r="N9" s="133">
        <v>-7.7812999999999998E-10</v>
      </c>
    </row>
    <row r="10" spans="2:14">
      <c r="B10" s="62" t="s">
        <v>347</v>
      </c>
      <c r="C10" s="161">
        <v>2</v>
      </c>
      <c r="D10" s="161">
        <v>2</v>
      </c>
      <c r="E10" s="161">
        <v>5</v>
      </c>
      <c r="F10" s="161">
        <v>57</v>
      </c>
      <c r="G10" s="161">
        <v>8</v>
      </c>
      <c r="H10" s="161">
        <v>8</v>
      </c>
      <c r="I10" s="161">
        <v>50</v>
      </c>
      <c r="J10" s="161">
        <v>3</v>
      </c>
      <c r="K10" s="161">
        <v>0</v>
      </c>
      <c r="L10" s="161">
        <v>0</v>
      </c>
      <c r="M10" s="161">
        <v>0</v>
      </c>
      <c r="N10" s="161">
        <v>1</v>
      </c>
    </row>
    <row r="11" spans="2:14">
      <c r="B11" s="62" t="s">
        <v>348</v>
      </c>
      <c r="C11" s="161">
        <v>295</v>
      </c>
      <c r="D11" s="161">
        <v>295</v>
      </c>
      <c r="E11" s="161">
        <v>57</v>
      </c>
      <c r="F11" s="161">
        <v>293</v>
      </c>
      <c r="G11" s="161">
        <v>290</v>
      </c>
      <c r="H11" s="161">
        <v>50</v>
      </c>
      <c r="I11" s="161">
        <v>294</v>
      </c>
      <c r="J11" s="161">
        <v>298</v>
      </c>
      <c r="K11" s="161">
        <v>297</v>
      </c>
      <c r="L11" s="161">
        <v>298</v>
      </c>
      <c r="M11" s="161">
        <v>297</v>
      </c>
      <c r="N11" s="161">
        <v>298</v>
      </c>
    </row>
    <row r="12" spans="2:14">
      <c r="B12" s="79" t="s">
        <v>357</v>
      </c>
      <c r="C12" s="161">
        <v>1</v>
      </c>
      <c r="D12" s="161">
        <v>1</v>
      </c>
      <c r="E12" s="161">
        <v>1</v>
      </c>
      <c r="F12" s="161">
        <v>1</v>
      </c>
      <c r="G12" s="161">
        <v>1</v>
      </c>
      <c r="H12" s="161">
        <v>1</v>
      </c>
      <c r="I12" s="161">
        <v>1</v>
      </c>
      <c r="J12" s="161">
        <v>1</v>
      </c>
      <c r="K12" s="161">
        <v>1</v>
      </c>
      <c r="L12" s="161">
        <v>1</v>
      </c>
      <c r="M12" s="161">
        <v>1</v>
      </c>
      <c r="N12" s="161">
        <v>1</v>
      </c>
    </row>
    <row r="13" spans="2:14" ht="13.5" thickBot="1"/>
    <row r="14" spans="2:14" ht="32.25" thickBot="1">
      <c r="B14" s="118" t="s">
        <v>466</v>
      </c>
      <c r="C14" s="119">
        <v>3</v>
      </c>
    </row>
    <row r="15" spans="2:14" ht="13.5" thickBot="1"/>
    <row r="16" spans="2:14" ht="16.5" thickBot="1">
      <c r="B16" s="146" t="s">
        <v>503</v>
      </c>
      <c r="C16" s="159">
        <f t="shared" ref="C16:N16" si="0">IF(AND($C$14&gt;=C$10,$C$14&lt;=C$11),(C$5+C$6*$C$14+C$7*$C$14^2+C$8*$C$14^3+C$9*$C$14^4),"Out of Range")</f>
        <v>77.740521885977103</v>
      </c>
      <c r="D16" s="159">
        <f t="shared" si="0"/>
        <v>80.86127710896011</v>
      </c>
      <c r="E16" s="159" t="str">
        <f t="shared" si="0"/>
        <v>Out of Range</v>
      </c>
      <c r="F16" s="159" t="str">
        <f t="shared" si="0"/>
        <v>Out of Range</v>
      </c>
      <c r="G16" s="159" t="str">
        <f t="shared" si="0"/>
        <v>Out of Range</v>
      </c>
      <c r="H16" s="159" t="str">
        <f t="shared" si="0"/>
        <v>Out of Range</v>
      </c>
      <c r="I16" s="159" t="str">
        <f t="shared" si="0"/>
        <v>Out of Range</v>
      </c>
      <c r="J16" s="159">
        <f t="shared" si="0"/>
        <v>141.63243549852703</v>
      </c>
      <c r="K16" s="159">
        <f t="shared" si="0"/>
        <v>217.68640743453793</v>
      </c>
      <c r="L16" s="159">
        <f t="shared" si="0"/>
        <v>215.37920990545018</v>
      </c>
      <c r="M16" s="159">
        <f t="shared" si="0"/>
        <v>209.23022966138058</v>
      </c>
      <c r="N16" s="159">
        <f t="shared" si="0"/>
        <v>205.38418212868646</v>
      </c>
    </row>
    <row r="20" spans="2:27" ht="39" customHeight="1">
      <c r="B20" s="290" t="s">
        <v>535</v>
      </c>
      <c r="C20" s="270"/>
      <c r="E20" s="290" t="s">
        <v>534</v>
      </c>
      <c r="F20" s="290"/>
      <c r="I20" s="290" t="s">
        <v>617</v>
      </c>
      <c r="J20" s="290"/>
      <c r="P20" s="291" t="s">
        <v>682</v>
      </c>
      <c r="Q20" s="292"/>
      <c r="R20" s="293"/>
    </row>
    <row r="21" spans="2:27">
      <c r="B21" s="7" t="s">
        <v>280</v>
      </c>
      <c r="C21" s="7" t="s">
        <v>503</v>
      </c>
      <c r="E21" s="7" t="s">
        <v>280</v>
      </c>
      <c r="F21" s="7" t="s">
        <v>503</v>
      </c>
      <c r="I21" s="62" t="s">
        <v>281</v>
      </c>
      <c r="J21" s="62" t="s">
        <v>503</v>
      </c>
      <c r="O21" s="223" t="s">
        <v>280</v>
      </c>
      <c r="P21" s="62" t="s">
        <v>678</v>
      </c>
      <c r="Q21" s="62" t="s">
        <v>679</v>
      </c>
      <c r="R21" s="62" t="s">
        <v>680</v>
      </c>
    </row>
    <row r="22" spans="2:27">
      <c r="B22" s="7">
        <v>77</v>
      </c>
      <c r="C22" s="7">
        <v>0.96499999999999997</v>
      </c>
      <c r="E22" s="7">
        <v>223</v>
      </c>
      <c r="F22" s="7">
        <v>2.2000000000000002</v>
      </c>
      <c r="I22" s="172">
        <v>0</v>
      </c>
      <c r="J22" s="172">
        <v>99.3</v>
      </c>
      <c r="O22" s="7">
        <v>100</v>
      </c>
      <c r="P22" s="47">
        <v>7.624877613224549</v>
      </c>
      <c r="Q22" s="47">
        <v>6.9934212668198992</v>
      </c>
      <c r="R22" s="47">
        <v>7.8052513586882393</v>
      </c>
    </row>
    <row r="23" spans="2:27">
      <c r="E23" s="7">
        <v>248</v>
      </c>
      <c r="F23" s="7">
        <v>2</v>
      </c>
      <c r="I23" s="172">
        <v>100</v>
      </c>
      <c r="J23" s="172">
        <v>98.87</v>
      </c>
      <c r="O23" s="7">
        <v>150</v>
      </c>
      <c r="P23" s="47">
        <v>6.1089962754451497</v>
      </c>
      <c r="Q23" s="47">
        <v>5.7448496691737994</v>
      </c>
      <c r="R23" s="47">
        <v>5.6719996636476591</v>
      </c>
    </row>
    <row r="24" spans="2:27">
      <c r="E24" s="7">
        <v>273</v>
      </c>
      <c r="F24" s="7">
        <v>1.9</v>
      </c>
      <c r="I24" s="172">
        <v>200</v>
      </c>
      <c r="J24" s="172">
        <v>98.33</v>
      </c>
      <c r="O24" s="7">
        <v>200</v>
      </c>
      <c r="P24" s="47">
        <v>4.2443298506365199</v>
      </c>
      <c r="Q24" s="47">
        <v>4.4737322151893997</v>
      </c>
      <c r="R24" s="47">
        <v>3.8664833616299394</v>
      </c>
    </row>
    <row r="25" spans="2:27">
      <c r="E25" s="7">
        <v>298</v>
      </c>
      <c r="F25" s="7">
        <v>1.75</v>
      </c>
      <c r="I25" s="172">
        <v>300</v>
      </c>
      <c r="J25" s="172">
        <v>97.68</v>
      </c>
      <c r="O25" s="7">
        <v>250</v>
      </c>
      <c r="P25" s="47">
        <v>3.5808680408916898</v>
      </c>
      <c r="Q25" s="47">
        <v>4.1086065533828693</v>
      </c>
      <c r="R25" s="47">
        <v>1.6495155235741799</v>
      </c>
      <c r="Y25" s="284"/>
      <c r="Z25" s="284"/>
      <c r="AA25" s="284"/>
    </row>
    <row r="26" spans="2:27">
      <c r="E26" s="7">
        <v>323</v>
      </c>
      <c r="F26" s="7">
        <v>0.9</v>
      </c>
      <c r="I26" s="172">
        <v>400</v>
      </c>
      <c r="J26" s="172">
        <v>96.95</v>
      </c>
      <c r="O26" s="7">
        <v>293</v>
      </c>
      <c r="P26" s="47">
        <v>2.4606423501989396</v>
      </c>
      <c r="Q26" s="47">
        <v>3.6640601823528298</v>
      </c>
      <c r="R26" s="47">
        <v>1.0664672681026199</v>
      </c>
      <c r="Y26" s="284"/>
      <c r="Z26" s="284"/>
      <c r="AA26" s="284"/>
    </row>
    <row r="27" spans="2:27">
      <c r="I27" s="172">
        <v>500</v>
      </c>
      <c r="J27" s="172">
        <v>96.15</v>
      </c>
      <c r="Y27" s="284"/>
      <c r="Z27" s="284"/>
      <c r="AA27" s="284"/>
    </row>
    <row r="28" spans="2:27">
      <c r="I28" s="172">
        <v>600</v>
      </c>
      <c r="J28" s="172">
        <v>95.24</v>
      </c>
      <c r="Y28" s="284"/>
      <c r="Z28" s="284"/>
      <c r="AA28" s="284"/>
    </row>
    <row r="29" spans="2:27">
      <c r="I29" s="172">
        <v>700</v>
      </c>
      <c r="J29" s="172">
        <v>94.4</v>
      </c>
      <c r="Y29" s="284"/>
      <c r="Z29" s="284"/>
      <c r="AA29" s="284"/>
    </row>
    <row r="30" spans="2:27">
      <c r="I30" s="172">
        <v>800</v>
      </c>
      <c r="J30" s="172">
        <v>93.47</v>
      </c>
      <c r="Y30" s="284"/>
      <c r="Z30" s="284"/>
      <c r="AA30" s="284"/>
    </row>
    <row r="31" spans="2:27">
      <c r="I31" s="172">
        <v>900</v>
      </c>
      <c r="J31" s="172">
        <v>92.54</v>
      </c>
      <c r="Y31" s="284"/>
      <c r="Z31" s="284"/>
      <c r="AA31" s="284"/>
    </row>
    <row r="32" spans="2:27">
      <c r="I32" s="172">
        <v>1000</v>
      </c>
      <c r="J32" s="172">
        <v>91.61</v>
      </c>
      <c r="Y32" s="284"/>
      <c r="Z32" s="284"/>
      <c r="AA32" s="284"/>
    </row>
    <row r="33" spans="9:31">
      <c r="I33" s="172">
        <v>1100</v>
      </c>
      <c r="J33" s="172">
        <v>90.7</v>
      </c>
      <c r="Y33" s="284"/>
      <c r="Z33" s="284"/>
      <c r="AA33" s="284"/>
    </row>
    <row r="34" spans="9:31">
      <c r="I34" s="172">
        <v>1200</v>
      </c>
      <c r="J34" s="172">
        <v>89.82</v>
      </c>
      <c r="Y34" s="284"/>
      <c r="Z34" s="284"/>
      <c r="AA34" s="284"/>
    </row>
    <row r="35" spans="9:31">
      <c r="I35" s="172">
        <v>1300</v>
      </c>
      <c r="J35" s="172">
        <v>88.99</v>
      </c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</row>
    <row r="36" spans="9:31">
      <c r="I36" s="172">
        <v>1400</v>
      </c>
      <c r="J36" s="172">
        <v>88.23</v>
      </c>
    </row>
  </sheetData>
  <mergeCells count="7">
    <mergeCell ref="Y25:Z34"/>
    <mergeCell ref="AA25:AA34"/>
    <mergeCell ref="C3:N3"/>
    <mergeCell ref="B20:C20"/>
    <mergeCell ref="E20:F20"/>
    <mergeCell ref="I20:J20"/>
    <mergeCell ref="P20:R20"/>
  </mergeCells>
  <phoneticPr fontId="0" type="noConversion"/>
  <hyperlinks>
    <hyperlink ref="B20:C20" r:id="rId1" display="http://snap.lbl.gov/bscw/bscw.cgi/d127917/Emmet glue data.pdf"/>
    <hyperlink ref="E20:F20" r:id="rId2" display="http://snap.lbl.gov/bscw/bscw.cgi/d127917/Emmet glue data.pdf"/>
    <hyperlink ref="I20:J20" r:id="rId3" display="Si (Ref 96)"/>
    <hyperlink ref="P20:R20" r:id="rId4" display="Poissons Ratio (ref 100)"/>
  </hyperlinks>
  <pageMargins left="0.75" right="0.75" top="1" bottom="1" header="0.5" footer="0.5"/>
  <pageSetup paperSize="17" orientation="landscape" r:id="rId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43"/>
  <sheetViews>
    <sheetView workbookViewId="0">
      <selection activeCell="J44" sqref="J44"/>
    </sheetView>
  </sheetViews>
  <sheetFormatPr defaultRowHeight="12.75"/>
  <cols>
    <col min="2" max="2" width="20.5703125" bestFit="1" customWidth="1"/>
    <col min="5" max="5" width="20.5703125" bestFit="1" customWidth="1"/>
    <col min="8" max="8" width="20.5703125" bestFit="1" customWidth="1"/>
    <col min="13" max="13" width="9.7109375" bestFit="1" customWidth="1"/>
    <col min="15" max="15" width="4.5703125" bestFit="1" customWidth="1"/>
    <col min="16" max="16" width="30" bestFit="1" customWidth="1"/>
  </cols>
  <sheetData>
    <row r="1" spans="1:16">
      <c r="D1" s="295" t="s">
        <v>657</v>
      </c>
      <c r="E1" s="295"/>
      <c r="G1" s="296" t="s">
        <v>659</v>
      </c>
      <c r="H1" s="295"/>
      <c r="J1" s="270" t="s">
        <v>663</v>
      </c>
      <c r="K1" s="270"/>
      <c r="L1" s="270"/>
      <c r="M1" s="270"/>
      <c r="O1" s="294" t="s">
        <v>674</v>
      </c>
      <c r="P1" s="294"/>
    </row>
    <row r="2" spans="1:16">
      <c r="A2" s="270" t="s">
        <v>526</v>
      </c>
      <c r="B2" s="270"/>
      <c r="D2" s="62" t="s">
        <v>281</v>
      </c>
      <c r="E2" s="62" t="s">
        <v>527</v>
      </c>
      <c r="G2" s="62" t="s">
        <v>281</v>
      </c>
      <c r="H2" s="62" t="s">
        <v>527</v>
      </c>
      <c r="J2" s="7"/>
      <c r="K2" s="269" t="s">
        <v>527</v>
      </c>
      <c r="L2" s="269"/>
      <c r="M2" s="269"/>
      <c r="O2" s="62" t="s">
        <v>330</v>
      </c>
      <c r="P2" s="62" t="s">
        <v>673</v>
      </c>
    </row>
    <row r="3" spans="1:16">
      <c r="A3" s="62" t="s">
        <v>281</v>
      </c>
      <c r="B3" s="62" t="s">
        <v>527</v>
      </c>
      <c r="D3" s="172">
        <v>4</v>
      </c>
      <c r="E3" s="47">
        <v>840.6</v>
      </c>
      <c r="G3" s="172">
        <v>20</v>
      </c>
      <c r="H3" s="172">
        <v>301.39999999999998</v>
      </c>
      <c r="J3" s="79" t="s">
        <v>281</v>
      </c>
      <c r="K3" s="62" t="s">
        <v>660</v>
      </c>
      <c r="L3" s="62" t="s">
        <v>662</v>
      </c>
      <c r="M3" s="62" t="s">
        <v>661</v>
      </c>
      <c r="O3" s="7">
        <v>90</v>
      </c>
      <c r="P3" s="7">
        <v>163</v>
      </c>
    </row>
    <row r="4" spans="1:16">
      <c r="A4" s="7">
        <v>77.150000000000006</v>
      </c>
      <c r="B4" s="7">
        <v>27.6</v>
      </c>
      <c r="D4" s="172">
        <v>10</v>
      </c>
      <c r="E4" s="47">
        <v>822.3</v>
      </c>
      <c r="G4" s="172">
        <v>40</v>
      </c>
      <c r="H4" s="172">
        <v>292.10000000000002</v>
      </c>
      <c r="J4" s="172">
        <v>50</v>
      </c>
      <c r="K4" s="172">
        <v>721</v>
      </c>
      <c r="L4" s="172">
        <v>842.8</v>
      </c>
      <c r="M4" s="172">
        <v>373.1</v>
      </c>
      <c r="O4" s="7">
        <v>293</v>
      </c>
      <c r="P4" s="7">
        <v>164</v>
      </c>
    </row>
    <row r="5" spans="1:16">
      <c r="A5" s="7">
        <v>218.15</v>
      </c>
      <c r="B5" s="7">
        <v>27.6</v>
      </c>
      <c r="D5" s="172">
        <v>20</v>
      </c>
      <c r="E5" s="47">
        <v>793</v>
      </c>
      <c r="G5" s="172">
        <v>60</v>
      </c>
      <c r="H5" s="172">
        <v>283.89999999999998</v>
      </c>
      <c r="J5" s="172">
        <v>100</v>
      </c>
      <c r="K5" s="172">
        <v>671.7</v>
      </c>
      <c r="L5" s="172">
        <v>787.6</v>
      </c>
      <c r="M5" s="172">
        <v>314.39999999999998</v>
      </c>
    </row>
    <row r="6" spans="1:16">
      <c r="A6" s="7">
        <v>298.14999999999998</v>
      </c>
      <c r="B6" s="7">
        <v>24.1</v>
      </c>
      <c r="D6" s="172">
        <v>40</v>
      </c>
      <c r="E6" s="47">
        <v>738.9</v>
      </c>
      <c r="G6" s="172">
        <v>80</v>
      </c>
      <c r="H6" s="172">
        <v>276.8</v>
      </c>
      <c r="J6" s="172">
        <v>150</v>
      </c>
      <c r="K6" s="172">
        <v>631.29999999999995</v>
      </c>
      <c r="L6" s="172">
        <v>739.6</v>
      </c>
      <c r="M6" s="172">
        <v>270.60000000000002</v>
      </c>
    </row>
    <row r="7" spans="1:16">
      <c r="A7" s="7">
        <v>344.15</v>
      </c>
      <c r="B7" s="7">
        <v>5.9</v>
      </c>
      <c r="D7" s="172">
        <v>60</v>
      </c>
      <c r="E7" s="47">
        <v>689.9</v>
      </c>
      <c r="G7" s="172">
        <v>100</v>
      </c>
      <c r="H7" s="172">
        <v>270.5</v>
      </c>
      <c r="J7" s="172">
        <v>200</v>
      </c>
      <c r="K7" s="172">
        <v>596.29999999999995</v>
      </c>
      <c r="L7" s="172">
        <v>702.5</v>
      </c>
      <c r="M7" s="172">
        <v>237</v>
      </c>
    </row>
    <row r="8" spans="1:16">
      <c r="D8" s="172">
        <v>80</v>
      </c>
      <c r="E8" s="47">
        <v>645.4</v>
      </c>
      <c r="G8" s="172">
        <v>120</v>
      </c>
      <c r="H8" s="172">
        <v>265.10000000000002</v>
      </c>
      <c r="J8" s="172">
        <v>250</v>
      </c>
      <c r="K8" s="172">
        <v>569</v>
      </c>
      <c r="L8" s="172">
        <v>673.5</v>
      </c>
      <c r="M8" s="172">
        <v>210.2</v>
      </c>
    </row>
    <row r="9" spans="1:16">
      <c r="D9" s="172">
        <v>100</v>
      </c>
      <c r="E9" s="47">
        <v>604.5</v>
      </c>
      <c r="G9" s="172">
        <v>140</v>
      </c>
      <c r="H9" s="172">
        <v>260.3</v>
      </c>
      <c r="J9" s="172">
        <v>300</v>
      </c>
      <c r="K9" s="172">
        <v>553.20000000000005</v>
      </c>
      <c r="L9" s="172">
        <v>650.4</v>
      </c>
      <c r="M9" s="172">
        <v>195.1</v>
      </c>
    </row>
    <row r="10" spans="1:16">
      <c r="D10" s="172">
        <v>120</v>
      </c>
      <c r="E10" s="47">
        <v>566.5</v>
      </c>
      <c r="G10" s="172">
        <v>160</v>
      </c>
      <c r="H10" s="172">
        <v>256.10000000000002</v>
      </c>
      <c r="J10" s="172">
        <v>350</v>
      </c>
      <c r="K10" s="172">
        <v>542</v>
      </c>
      <c r="L10" s="172">
        <v>641.6</v>
      </c>
      <c r="M10" s="172">
        <v>185.6</v>
      </c>
    </row>
    <row r="11" spans="1:16">
      <c r="D11" s="172">
        <v>140</v>
      </c>
      <c r="E11" s="47">
        <v>531</v>
      </c>
      <c r="G11" s="172">
        <v>180</v>
      </c>
      <c r="H11" s="172">
        <v>252.3</v>
      </c>
      <c r="J11" s="172">
        <v>400</v>
      </c>
      <c r="K11" s="172">
        <v>536.79999999999995</v>
      </c>
      <c r="L11" s="172">
        <v>635.4</v>
      </c>
      <c r="M11" s="172">
        <v>183.8</v>
      </c>
    </row>
    <row r="12" spans="1:16">
      <c r="D12" s="172">
        <v>160</v>
      </c>
      <c r="E12" s="47">
        <v>497.3</v>
      </c>
      <c r="G12" s="172">
        <v>200</v>
      </c>
      <c r="H12" s="172">
        <v>248.8</v>
      </c>
      <c r="J12" s="172">
        <v>450</v>
      </c>
      <c r="K12" s="172">
        <v>529.4</v>
      </c>
      <c r="L12" s="172">
        <v>626.70000000000005</v>
      </c>
      <c r="M12" s="172">
        <v>181.2</v>
      </c>
    </row>
    <row r="13" spans="1:16">
      <c r="D13" s="172">
        <v>180</v>
      </c>
      <c r="E13" s="47">
        <v>465.1</v>
      </c>
      <c r="G13" s="172">
        <v>220</v>
      </c>
      <c r="H13" s="172">
        <v>245.6</v>
      </c>
      <c r="J13" s="172">
        <v>500</v>
      </c>
      <c r="K13" s="172">
        <v>514.5</v>
      </c>
      <c r="L13" s="172">
        <v>609</v>
      </c>
      <c r="M13" s="172">
        <v>176.2</v>
      </c>
    </row>
    <row r="14" spans="1:16">
      <c r="D14" s="172">
        <v>200</v>
      </c>
      <c r="E14" s="47">
        <v>434</v>
      </c>
      <c r="G14" s="172">
        <v>240</v>
      </c>
      <c r="H14" s="172">
        <v>242.4</v>
      </c>
      <c r="J14" s="172">
        <v>550</v>
      </c>
      <c r="K14" s="172">
        <v>490.2</v>
      </c>
      <c r="L14" s="172">
        <v>580.29999999999995</v>
      </c>
      <c r="M14" s="172">
        <v>167.8</v>
      </c>
    </row>
    <row r="15" spans="1:16">
      <c r="D15" s="172">
        <v>220</v>
      </c>
      <c r="E15" s="47">
        <v>403.6</v>
      </c>
      <c r="G15" s="172">
        <v>260</v>
      </c>
      <c r="H15" s="172">
        <v>239.2</v>
      </c>
      <c r="J15" s="172">
        <v>600</v>
      </c>
      <c r="K15" s="172">
        <v>460.8</v>
      </c>
      <c r="L15" s="172">
        <v>545.5</v>
      </c>
      <c r="M15" s="172">
        <v>157.69999999999999</v>
      </c>
    </row>
    <row r="16" spans="1:16">
      <c r="D16" s="172">
        <v>240</v>
      </c>
      <c r="E16" s="47">
        <v>373.8</v>
      </c>
      <c r="G16" s="172">
        <v>280</v>
      </c>
      <c r="H16" s="172">
        <v>235.9</v>
      </c>
    </row>
    <row r="17" spans="4:13">
      <c r="D17" s="172">
        <v>260</v>
      </c>
      <c r="E17" s="47">
        <v>344.4</v>
      </c>
      <c r="G17" s="172">
        <v>300</v>
      </c>
      <c r="H17" s="172">
        <v>232.3</v>
      </c>
    </row>
    <row r="18" spans="4:13">
      <c r="D18" s="172">
        <v>280</v>
      </c>
      <c r="E18" s="47">
        <v>313.7</v>
      </c>
    </row>
    <row r="19" spans="4:13">
      <c r="D19" s="172">
        <v>300</v>
      </c>
      <c r="E19" s="47">
        <v>290.39999999999998</v>
      </c>
    </row>
    <row r="20" spans="4:13">
      <c r="D20" s="172">
        <v>320</v>
      </c>
      <c r="E20" s="47">
        <v>268.8</v>
      </c>
    </row>
    <row r="21" spans="4:13">
      <c r="D21" s="172">
        <v>340</v>
      </c>
      <c r="E21" s="47">
        <v>248.7</v>
      </c>
      <c r="K21" s="272" t="s">
        <v>684</v>
      </c>
      <c r="L21" s="289"/>
      <c r="M21" s="283"/>
    </row>
    <row r="22" spans="4:13">
      <c r="D22" s="172">
        <v>360</v>
      </c>
      <c r="E22" s="47">
        <v>230.1</v>
      </c>
      <c r="J22" s="223" t="s">
        <v>280</v>
      </c>
      <c r="K22" s="62" t="s">
        <v>678</v>
      </c>
      <c r="L22" s="62" t="s">
        <v>679</v>
      </c>
      <c r="M22" s="62" t="s">
        <v>680</v>
      </c>
    </row>
    <row r="23" spans="4:13">
      <c r="D23" s="172">
        <v>380</v>
      </c>
      <c r="E23" s="47">
        <v>212.9</v>
      </c>
      <c r="J23" s="7">
        <v>100</v>
      </c>
      <c r="K23" s="47">
        <v>48.897618700679992</v>
      </c>
      <c r="L23" s="47">
        <v>46.767138698069999</v>
      </c>
      <c r="M23" s="47">
        <v>29.130349550249999</v>
      </c>
    </row>
    <row r="24" spans="4:13">
      <c r="D24" s="172">
        <v>400</v>
      </c>
      <c r="E24" s="47">
        <v>197</v>
      </c>
      <c r="J24" s="7">
        <v>150</v>
      </c>
      <c r="K24" s="47">
        <v>41.251332866069994</v>
      </c>
      <c r="L24" s="47">
        <v>39.169116164489999</v>
      </c>
      <c r="M24" s="47">
        <v>31.998568582889998</v>
      </c>
    </row>
    <row r="25" spans="4:13">
      <c r="D25" s="172">
        <v>420</v>
      </c>
      <c r="E25" s="47">
        <v>182.4</v>
      </c>
      <c r="J25" s="7">
        <v>200</v>
      </c>
      <c r="K25" s="47">
        <v>29.454403142879997</v>
      </c>
      <c r="L25" s="47">
        <v>30.826459843589998</v>
      </c>
      <c r="M25" s="47">
        <v>26.972290518479998</v>
      </c>
    </row>
    <row r="26" spans="4:13">
      <c r="D26" s="172">
        <v>440</v>
      </c>
      <c r="E26" s="47">
        <v>168.9</v>
      </c>
      <c r="J26" s="7">
        <v>250</v>
      </c>
      <c r="K26" s="47">
        <v>24.317808961829996</v>
      </c>
      <c r="L26" s="47">
        <v>28.371926248349997</v>
      </c>
      <c r="M26" s="47">
        <v>11.969298655439999</v>
      </c>
    </row>
    <row r="27" spans="4:13">
      <c r="D27" s="172">
        <v>460</v>
      </c>
      <c r="E27" s="47">
        <v>156.6</v>
      </c>
      <c r="J27" s="7">
        <v>293</v>
      </c>
      <c r="K27" s="47">
        <v>17.505788759310001</v>
      </c>
      <c r="L27" s="47">
        <v>25.862234594789996</v>
      </c>
      <c r="M27" s="47">
        <v>7.9496551553699994</v>
      </c>
    </row>
    <row r="28" spans="4:13">
      <c r="D28" s="172">
        <v>480</v>
      </c>
      <c r="E28" s="47">
        <v>145.30000000000001</v>
      </c>
    </row>
    <row r="29" spans="4:13">
      <c r="D29" s="172">
        <v>500</v>
      </c>
      <c r="E29" s="47">
        <v>135</v>
      </c>
    </row>
    <row r="30" spans="4:13">
      <c r="D30" s="172">
        <v>520</v>
      </c>
      <c r="E30" s="47">
        <v>125.7</v>
      </c>
    </row>
    <row r="31" spans="4:13">
      <c r="D31" s="172">
        <v>540</v>
      </c>
      <c r="E31" s="47">
        <v>117.3</v>
      </c>
    </row>
    <row r="32" spans="4:13">
      <c r="D32" s="172">
        <v>560</v>
      </c>
      <c r="E32" s="47">
        <v>109.7</v>
      </c>
    </row>
    <row r="33" spans="4:5">
      <c r="D33" s="172">
        <v>580</v>
      </c>
      <c r="E33" s="47">
        <v>103</v>
      </c>
    </row>
    <row r="34" spans="4:5">
      <c r="D34" s="172">
        <v>600</v>
      </c>
      <c r="E34" s="47">
        <v>97.11</v>
      </c>
    </row>
    <row r="35" spans="4:5">
      <c r="D35" s="172">
        <v>620</v>
      </c>
      <c r="E35" s="47">
        <v>91.93</v>
      </c>
    </row>
    <row r="36" spans="4:5">
      <c r="D36" s="172">
        <v>640</v>
      </c>
      <c r="E36" s="47">
        <v>87.46</v>
      </c>
    </row>
    <row r="37" spans="4:5">
      <c r="D37" s="172">
        <v>660</v>
      </c>
      <c r="E37" s="47">
        <v>83.69</v>
      </c>
    </row>
    <row r="38" spans="4:5">
      <c r="D38" s="172">
        <v>680</v>
      </c>
      <c r="E38" s="47">
        <v>80.569999999999993</v>
      </c>
    </row>
    <row r="39" spans="4:5">
      <c r="D39" s="172">
        <v>700</v>
      </c>
      <c r="E39" s="47">
        <v>78.09</v>
      </c>
    </row>
    <row r="40" spans="4:5">
      <c r="D40" s="172">
        <v>720</v>
      </c>
      <c r="E40" s="47">
        <v>76.209999999999994</v>
      </c>
    </row>
    <row r="41" spans="4:5">
      <c r="D41" s="172">
        <v>740</v>
      </c>
      <c r="E41" s="47">
        <v>74.91</v>
      </c>
    </row>
    <row r="42" spans="4:5">
      <c r="D42" s="172">
        <v>760</v>
      </c>
      <c r="E42" s="47">
        <v>74.16</v>
      </c>
    </row>
    <row r="43" spans="4:5">
      <c r="D43" s="172">
        <v>780</v>
      </c>
      <c r="E43" s="47">
        <v>73.95</v>
      </c>
    </row>
  </sheetData>
  <mergeCells count="7">
    <mergeCell ref="K21:M21"/>
    <mergeCell ref="O1:P1"/>
    <mergeCell ref="A2:B2"/>
    <mergeCell ref="D1:E1"/>
    <mergeCell ref="G1:H1"/>
    <mergeCell ref="K2:M2"/>
    <mergeCell ref="J1:M1"/>
  </mergeCells>
  <phoneticPr fontId="0" type="noConversion"/>
  <hyperlinks>
    <hyperlink ref="A2:B2" r:id="rId1" display="Hysol EA9361 (ref 82)"/>
    <hyperlink ref="D1:E1" r:id="rId2" display="Invar 36 (ref 96)"/>
    <hyperlink ref="G1:H1" r:id="rId3" display="Invar 36 (ref 96)"/>
    <hyperlink ref="J1:M1" r:id="rId4" display="Beryllium Copper Alloy C172 (ref 96)"/>
    <hyperlink ref="O1:P1" r:id="rId5" display="Cesic (ref 99)"/>
    <hyperlink ref="K21:M21" r:id="rId6" display="Poissons Ratio (ref 100)"/>
  </hyperlinks>
  <pageMargins left="0.75" right="0.75" top="1" bottom="1" header="0.5" footer="0.5"/>
  <pageSetup paperSize="17" orientation="landscape" r:id="rId7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43"/>
  <sheetViews>
    <sheetView workbookViewId="0">
      <selection activeCell="G1" sqref="G1:J7"/>
    </sheetView>
  </sheetViews>
  <sheetFormatPr defaultRowHeight="12.75"/>
  <cols>
    <col min="2" max="2" width="14.28515625" bestFit="1" customWidth="1"/>
    <col min="5" max="5" width="14.28515625" bestFit="1" customWidth="1"/>
    <col min="8" max="8" width="14.28515625" bestFit="1" customWidth="1"/>
    <col min="9" max="9" width="12" bestFit="1" customWidth="1"/>
    <col min="10" max="10" width="13.5703125" bestFit="1" customWidth="1"/>
  </cols>
  <sheetData>
    <row r="1" spans="1:10">
      <c r="A1" s="271" t="s">
        <v>657</v>
      </c>
      <c r="B1" s="270"/>
      <c r="D1" s="271" t="s">
        <v>615</v>
      </c>
      <c r="E1" s="270"/>
      <c r="H1" s="282" t="s">
        <v>681</v>
      </c>
      <c r="I1" s="289"/>
      <c r="J1" s="283"/>
    </row>
    <row r="2" spans="1:10">
      <c r="A2" s="62" t="s">
        <v>281</v>
      </c>
      <c r="B2" s="62" t="s">
        <v>658</v>
      </c>
      <c r="D2" s="62" t="s">
        <v>281</v>
      </c>
      <c r="E2" s="62" t="s">
        <v>658</v>
      </c>
      <c r="G2" s="223" t="s">
        <v>280</v>
      </c>
      <c r="H2" s="62" t="s">
        <v>678</v>
      </c>
      <c r="I2" s="62" t="s">
        <v>679</v>
      </c>
      <c r="J2" s="62" t="s">
        <v>680</v>
      </c>
    </row>
    <row r="3" spans="1:10">
      <c r="A3" s="172">
        <v>4</v>
      </c>
      <c r="B3" s="172">
        <v>0.33129999999999998</v>
      </c>
      <c r="D3" s="172">
        <v>0</v>
      </c>
      <c r="E3" s="172">
        <v>0.27929999999999999</v>
      </c>
      <c r="G3" s="7">
        <v>100</v>
      </c>
      <c r="H3" s="7">
        <v>0.34799999999999998</v>
      </c>
      <c r="I3" s="7">
        <v>0.35</v>
      </c>
      <c r="J3" s="7">
        <v>0.35299999999999998</v>
      </c>
    </row>
    <row r="4" spans="1:10">
      <c r="A4" s="172">
        <v>5</v>
      </c>
      <c r="B4" s="172">
        <v>0.33079999999999998</v>
      </c>
      <c r="D4" s="172">
        <v>100</v>
      </c>
      <c r="E4" s="172">
        <v>0.27879999999999999</v>
      </c>
      <c r="G4" s="7">
        <v>150</v>
      </c>
      <c r="H4" s="7">
        <v>0.36699999999999999</v>
      </c>
      <c r="I4" s="7">
        <v>0.33400000000000002</v>
      </c>
      <c r="J4" s="7">
        <v>0.35699999999999998</v>
      </c>
    </row>
    <row r="5" spans="1:10">
      <c r="A5" s="172">
        <v>10</v>
      </c>
      <c r="B5" s="172">
        <v>0.32740000000000002</v>
      </c>
      <c r="D5" s="172">
        <v>200</v>
      </c>
      <c r="E5" s="172">
        <v>0.27850000000000003</v>
      </c>
      <c r="G5" s="7">
        <v>200</v>
      </c>
      <c r="H5" s="7">
        <v>0.36799999999999999</v>
      </c>
      <c r="I5" s="7">
        <v>0.34899999999999998</v>
      </c>
      <c r="J5" s="7">
        <v>0.35699999999999998</v>
      </c>
    </row>
    <row r="6" spans="1:10">
      <c r="A6" s="172">
        <v>15</v>
      </c>
      <c r="B6" s="172">
        <v>0.32319999999999999</v>
      </c>
      <c r="D6" s="172">
        <v>300</v>
      </c>
      <c r="E6" s="172">
        <v>0.2782</v>
      </c>
      <c r="G6" s="7">
        <v>250</v>
      </c>
      <c r="H6" s="7">
        <v>0.372</v>
      </c>
      <c r="I6" s="7">
        <v>0.36499999999999999</v>
      </c>
      <c r="J6" s="7">
        <v>0.435</v>
      </c>
    </row>
    <row r="7" spans="1:10">
      <c r="A7" s="172">
        <v>20</v>
      </c>
      <c r="B7" s="172">
        <v>0.31909999999999999</v>
      </c>
      <c r="D7" s="172">
        <v>400</v>
      </c>
      <c r="E7" s="172">
        <v>0.27800000000000002</v>
      </c>
      <c r="G7" s="7">
        <v>293</v>
      </c>
      <c r="H7" s="7">
        <v>0.40100000000000002</v>
      </c>
      <c r="I7" s="7">
        <v>0.35799999999999998</v>
      </c>
      <c r="J7" s="7">
        <v>0.433</v>
      </c>
    </row>
    <row r="8" spans="1:10">
      <c r="A8" s="172">
        <v>25</v>
      </c>
      <c r="B8" s="172">
        <v>0.31609999999999999</v>
      </c>
      <c r="D8" s="172">
        <v>500</v>
      </c>
      <c r="E8" s="172">
        <v>0.27779999999999999</v>
      </c>
    </row>
    <row r="9" spans="1:10">
      <c r="A9" s="172">
        <v>30</v>
      </c>
      <c r="B9" s="172">
        <v>0.31409999999999999</v>
      </c>
      <c r="D9" s="172">
        <v>600</v>
      </c>
      <c r="E9" s="172">
        <v>0.2777</v>
      </c>
    </row>
    <row r="10" spans="1:10">
      <c r="A10" s="172">
        <v>35</v>
      </c>
      <c r="B10" s="172">
        <v>0.31269999999999998</v>
      </c>
      <c r="D10" s="172">
        <v>700</v>
      </c>
      <c r="E10" s="172">
        <v>0.2777</v>
      </c>
    </row>
    <row r="11" spans="1:10">
      <c r="A11" s="172">
        <v>40</v>
      </c>
      <c r="B11" s="172">
        <v>0.3115</v>
      </c>
      <c r="D11" s="172">
        <v>800</v>
      </c>
      <c r="E11" s="172">
        <v>0.27779999999999999</v>
      </c>
    </row>
    <row r="12" spans="1:10">
      <c r="A12" s="172">
        <v>45</v>
      </c>
      <c r="B12" s="172">
        <v>0.31059999999999999</v>
      </c>
      <c r="D12" s="172">
        <v>900</v>
      </c>
      <c r="E12" s="172">
        <v>0.27789999999999998</v>
      </c>
    </row>
    <row r="13" spans="1:10">
      <c r="A13" s="172">
        <v>50</v>
      </c>
      <c r="B13" s="172">
        <v>0.31</v>
      </c>
      <c r="D13" s="172">
        <v>1000</v>
      </c>
      <c r="E13" s="172">
        <v>0.27800000000000002</v>
      </c>
    </row>
    <row r="14" spans="1:10">
      <c r="A14" s="172">
        <v>55</v>
      </c>
      <c r="B14" s="172">
        <v>0.30940000000000001</v>
      </c>
      <c r="D14" s="172">
        <v>1100</v>
      </c>
      <c r="E14" s="172">
        <v>0.27810000000000001</v>
      </c>
    </row>
    <row r="15" spans="1:10">
      <c r="A15" s="172">
        <v>60</v>
      </c>
      <c r="B15" s="172">
        <v>0.30880000000000002</v>
      </c>
      <c r="D15" s="172">
        <v>1200</v>
      </c>
      <c r="E15" s="172">
        <v>0.27829999999999999</v>
      </c>
    </row>
    <row r="16" spans="1:10">
      <c r="A16" s="172">
        <v>80</v>
      </c>
      <c r="B16" s="172">
        <v>0.30649999999999999</v>
      </c>
      <c r="D16" s="172">
        <v>1300</v>
      </c>
      <c r="E16" s="172">
        <v>0.27839999999999998</v>
      </c>
    </row>
    <row r="17" spans="1:5">
      <c r="A17" s="172">
        <v>100</v>
      </c>
      <c r="B17" s="172">
        <v>0.30420000000000003</v>
      </c>
      <c r="D17" s="172">
        <v>1400</v>
      </c>
      <c r="E17" s="172">
        <v>0.27860000000000001</v>
      </c>
    </row>
    <row r="18" spans="1:5">
      <c r="A18" s="172">
        <v>120</v>
      </c>
      <c r="B18" s="172">
        <v>0.30180000000000001</v>
      </c>
    </row>
    <row r="19" spans="1:5">
      <c r="A19" s="172">
        <v>140</v>
      </c>
      <c r="B19" s="172">
        <v>0.29949999999999999</v>
      </c>
    </row>
    <row r="20" spans="1:5">
      <c r="A20" s="172">
        <v>160</v>
      </c>
      <c r="B20" s="172">
        <v>0.29720000000000002</v>
      </c>
    </row>
    <row r="21" spans="1:5">
      <c r="A21" s="172">
        <v>180</v>
      </c>
      <c r="B21" s="172">
        <v>0.2949</v>
      </c>
    </row>
    <row r="22" spans="1:5">
      <c r="A22" s="172">
        <v>200</v>
      </c>
      <c r="B22" s="172">
        <v>0.29260000000000003</v>
      </c>
    </row>
    <row r="23" spans="1:5">
      <c r="A23" s="172">
        <v>220</v>
      </c>
      <c r="B23" s="172">
        <v>0.2903</v>
      </c>
    </row>
    <row r="24" spans="1:5">
      <c r="A24" s="172">
        <v>240</v>
      </c>
      <c r="B24" s="172">
        <v>0.28799999999999998</v>
      </c>
    </row>
    <row r="25" spans="1:5">
      <c r="A25" s="172">
        <v>250</v>
      </c>
      <c r="B25" s="172">
        <v>0.28670000000000001</v>
      </c>
    </row>
    <row r="26" spans="1:5">
      <c r="A26" s="172">
        <v>260</v>
      </c>
      <c r="B26" s="172">
        <v>0.28570000000000001</v>
      </c>
    </row>
    <row r="27" spans="1:5">
      <c r="A27" s="172">
        <v>270</v>
      </c>
      <c r="B27" s="172">
        <v>0.28499999999999998</v>
      </c>
    </row>
    <row r="28" spans="1:5">
      <c r="A28" s="172">
        <v>280</v>
      </c>
      <c r="B28" s="172">
        <v>0.28449999999999998</v>
      </c>
    </row>
    <row r="29" spans="1:5">
      <c r="A29" s="172">
        <v>290</v>
      </c>
      <c r="B29" s="172">
        <v>0.28439999999999999</v>
      </c>
    </row>
    <row r="30" spans="1:5">
      <c r="A30" s="172">
        <v>300</v>
      </c>
      <c r="B30" s="172">
        <v>0.28439999999999999</v>
      </c>
    </row>
    <row r="31" spans="1:5">
      <c r="A31" s="172">
        <v>310</v>
      </c>
      <c r="B31" s="172">
        <v>0.28439999999999999</v>
      </c>
    </row>
    <row r="32" spans="1:5">
      <c r="A32" s="172">
        <v>320</v>
      </c>
      <c r="B32" s="172">
        <v>0.2843</v>
      </c>
    </row>
    <row r="33" spans="1:2">
      <c r="A33" s="172">
        <v>330</v>
      </c>
      <c r="B33" s="172">
        <v>0.2843</v>
      </c>
    </row>
    <row r="34" spans="1:2">
      <c r="A34" s="172">
        <v>340</v>
      </c>
      <c r="B34" s="172">
        <v>0.28420000000000001</v>
      </c>
    </row>
    <row r="35" spans="1:2">
      <c r="A35" s="172">
        <v>350</v>
      </c>
      <c r="B35" s="172">
        <v>0.28420000000000001</v>
      </c>
    </row>
    <row r="36" spans="1:2">
      <c r="A36" s="172">
        <v>360</v>
      </c>
      <c r="B36" s="172">
        <v>0.28420000000000001</v>
      </c>
    </row>
    <row r="37" spans="1:2">
      <c r="A37" s="172">
        <v>370</v>
      </c>
      <c r="B37" s="172">
        <v>0.28410000000000002</v>
      </c>
    </row>
    <row r="38" spans="1:2">
      <c r="A38" s="172">
        <v>380</v>
      </c>
      <c r="B38" s="172">
        <v>0.28410000000000002</v>
      </c>
    </row>
    <row r="39" spans="1:2">
      <c r="A39" s="172">
        <v>390</v>
      </c>
      <c r="B39" s="172">
        <v>0.28410000000000002</v>
      </c>
    </row>
    <row r="40" spans="1:2">
      <c r="A40" s="172">
        <v>400</v>
      </c>
      <c r="B40" s="172">
        <v>0.28410000000000002</v>
      </c>
    </row>
    <row r="41" spans="1:2">
      <c r="A41" s="172">
        <v>410</v>
      </c>
      <c r="B41" s="172">
        <v>0.28399999999999997</v>
      </c>
    </row>
    <row r="42" spans="1:2">
      <c r="A42" s="172">
        <v>420</v>
      </c>
      <c r="B42" s="172">
        <v>0.28399999999999997</v>
      </c>
    </row>
    <row r="43" spans="1:2">
      <c r="A43" s="172">
        <v>430</v>
      </c>
      <c r="B43" s="172">
        <v>0.28399999999999997</v>
      </c>
    </row>
  </sheetData>
  <mergeCells count="3">
    <mergeCell ref="A1:B1"/>
    <mergeCell ref="D1:E1"/>
    <mergeCell ref="H1:J1"/>
  </mergeCells>
  <phoneticPr fontId="15" type="noConversion"/>
  <hyperlinks>
    <hyperlink ref="A1:B1" r:id="rId1" display="Invar 36 (ref 96)"/>
    <hyperlink ref="D1:E1" r:id="rId2" display="Invar 36 (ref 96)"/>
    <hyperlink ref="H1:J1" r:id="rId3" display="Poissons Ratio (ref 100)"/>
  </hyperlinks>
  <pageMargins left="0.75" right="0.75" top="1" bottom="1" header="0.5" footer="0.5"/>
  <pageSetup paperSize="17" orientation="landscape" r:id="rId4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R111"/>
  <sheetViews>
    <sheetView topLeftCell="A83" workbookViewId="0">
      <selection activeCell="G98" sqref="G98"/>
    </sheetView>
  </sheetViews>
  <sheetFormatPr defaultRowHeight="12.75"/>
  <cols>
    <col min="1" max="1" width="1.85546875" customWidth="1"/>
    <col min="2" max="2" width="11.85546875" bestFit="1" customWidth="1"/>
    <col min="3" max="3" width="130" bestFit="1" customWidth="1"/>
  </cols>
  <sheetData>
    <row r="1" spans="2:3" ht="13.5" thickBot="1"/>
    <row r="2" spans="2:3" ht="13.5" thickBot="1">
      <c r="B2" s="14" t="s">
        <v>42</v>
      </c>
      <c r="C2" s="15" t="s">
        <v>43</v>
      </c>
    </row>
    <row r="3" spans="2:3">
      <c r="B3" s="4">
        <v>1</v>
      </c>
      <c r="C3" s="5" t="s">
        <v>44</v>
      </c>
    </row>
    <row r="4" spans="2:3">
      <c r="B4" s="6">
        <v>2</v>
      </c>
      <c r="C4" s="8" t="s">
        <v>46</v>
      </c>
    </row>
    <row r="5" spans="2:3">
      <c r="B5" s="6">
        <v>3</v>
      </c>
      <c r="C5" s="13" t="s">
        <v>51</v>
      </c>
    </row>
    <row r="6" spans="2:3">
      <c r="B6" s="6">
        <v>4</v>
      </c>
      <c r="C6" s="13" t="s">
        <v>52</v>
      </c>
    </row>
    <row r="7" spans="2:3">
      <c r="B7" s="6">
        <v>5</v>
      </c>
      <c r="C7" s="13" t="s">
        <v>55</v>
      </c>
    </row>
    <row r="8" spans="2:3">
      <c r="B8" s="6">
        <v>6</v>
      </c>
      <c r="C8" s="13" t="s">
        <v>56</v>
      </c>
    </row>
    <row r="9" spans="2:3">
      <c r="B9" s="6">
        <v>7</v>
      </c>
      <c r="C9" s="13" t="s">
        <v>59</v>
      </c>
    </row>
    <row r="10" spans="2:3">
      <c r="B10" s="6">
        <v>8</v>
      </c>
      <c r="C10" s="13" t="s">
        <v>61</v>
      </c>
    </row>
    <row r="11" spans="2:3">
      <c r="B11" s="6">
        <v>9</v>
      </c>
      <c r="C11" s="13" t="s">
        <v>64</v>
      </c>
    </row>
    <row r="12" spans="2:3">
      <c r="B12" s="6">
        <v>10</v>
      </c>
      <c r="C12" s="13" t="s">
        <v>65</v>
      </c>
    </row>
    <row r="13" spans="2:3">
      <c r="B13" s="6">
        <v>11</v>
      </c>
      <c r="C13" s="13" t="s">
        <v>67</v>
      </c>
    </row>
    <row r="14" spans="2:3">
      <c r="B14" s="6">
        <v>12</v>
      </c>
      <c r="C14" s="13" t="s">
        <v>69</v>
      </c>
    </row>
    <row r="15" spans="2:3">
      <c r="B15" s="6">
        <v>13</v>
      </c>
      <c r="C15" s="13" t="s">
        <v>71</v>
      </c>
    </row>
    <row r="16" spans="2:3">
      <c r="B16" s="6">
        <v>14</v>
      </c>
      <c r="C16" s="13" t="s">
        <v>73</v>
      </c>
    </row>
    <row r="17" spans="2:3">
      <c r="B17" s="6">
        <v>15</v>
      </c>
      <c r="C17" s="13" t="s">
        <v>75</v>
      </c>
    </row>
    <row r="18" spans="2:3">
      <c r="B18" s="6">
        <v>16</v>
      </c>
      <c r="C18" s="13" t="s">
        <v>76</v>
      </c>
    </row>
    <row r="19" spans="2:3">
      <c r="B19" s="6">
        <v>17</v>
      </c>
      <c r="C19" s="13" t="s">
        <v>77</v>
      </c>
    </row>
    <row r="20" spans="2:3">
      <c r="B20" s="6">
        <v>18</v>
      </c>
      <c r="C20" s="13" t="s">
        <v>78</v>
      </c>
    </row>
    <row r="21" spans="2:3">
      <c r="B21" s="6">
        <v>19</v>
      </c>
      <c r="C21" s="13" t="s">
        <v>79</v>
      </c>
    </row>
    <row r="22" spans="2:3">
      <c r="B22" s="45">
        <v>20</v>
      </c>
      <c r="C22" s="46" t="s">
        <v>80</v>
      </c>
    </row>
    <row r="23" spans="2:3">
      <c r="B23" s="55">
        <v>21</v>
      </c>
      <c r="C23" s="13" t="s">
        <v>98</v>
      </c>
    </row>
    <row r="24" spans="2:3">
      <c r="B24" s="55">
        <v>22</v>
      </c>
      <c r="C24" s="13" t="s">
        <v>99</v>
      </c>
    </row>
    <row r="25" spans="2:3">
      <c r="B25" s="55">
        <v>23</v>
      </c>
      <c r="C25" s="13" t="s">
        <v>101</v>
      </c>
    </row>
    <row r="26" spans="2:3">
      <c r="B26" s="55">
        <v>24</v>
      </c>
      <c r="C26" s="13" t="s">
        <v>102</v>
      </c>
    </row>
    <row r="27" spans="2:3">
      <c r="B27" s="55">
        <v>25</v>
      </c>
      <c r="C27" s="13" t="s">
        <v>103</v>
      </c>
    </row>
    <row r="28" spans="2:3">
      <c r="B28" s="55">
        <v>26</v>
      </c>
      <c r="C28" s="13" t="s">
        <v>104</v>
      </c>
    </row>
    <row r="29" spans="2:3">
      <c r="B29" s="55">
        <v>27</v>
      </c>
      <c r="C29" s="13" t="s">
        <v>105</v>
      </c>
    </row>
    <row r="30" spans="2:3">
      <c r="B30" s="55">
        <v>28</v>
      </c>
      <c r="C30" s="13" t="s">
        <v>106</v>
      </c>
    </row>
    <row r="31" spans="2:3">
      <c r="B31" s="55">
        <v>29</v>
      </c>
      <c r="C31" s="13" t="s">
        <v>107</v>
      </c>
    </row>
    <row r="32" spans="2:3">
      <c r="B32" s="55">
        <v>30</v>
      </c>
      <c r="C32" s="13" t="s">
        <v>108</v>
      </c>
    </row>
    <row r="33" spans="2:4">
      <c r="B33" s="55">
        <v>31</v>
      </c>
      <c r="C33" s="13" t="s">
        <v>109</v>
      </c>
    </row>
    <row r="34" spans="2:4">
      <c r="B34" s="55">
        <v>32</v>
      </c>
      <c r="C34" s="13" t="s">
        <v>110</v>
      </c>
    </row>
    <row r="35" spans="2:4">
      <c r="B35" s="55">
        <v>33</v>
      </c>
      <c r="C35" s="13" t="s">
        <v>111</v>
      </c>
    </row>
    <row r="36" spans="2:4">
      <c r="B36" s="55">
        <v>34</v>
      </c>
      <c r="C36" s="13" t="s">
        <v>112</v>
      </c>
    </row>
    <row r="37" spans="2:4">
      <c r="B37" s="55">
        <v>35</v>
      </c>
      <c r="C37" s="13" t="s">
        <v>113</v>
      </c>
    </row>
    <row r="38" spans="2:4">
      <c r="B38" s="55">
        <v>36</v>
      </c>
      <c r="C38" s="13" t="s">
        <v>114</v>
      </c>
      <c r="D38" t="s">
        <v>444</v>
      </c>
    </row>
    <row r="39" spans="2:4">
      <c r="B39" s="55">
        <v>37</v>
      </c>
      <c r="C39" s="13" t="s">
        <v>115</v>
      </c>
    </row>
    <row r="40" spans="2:4">
      <c r="B40" s="55">
        <v>38</v>
      </c>
      <c r="C40" s="13" t="s">
        <v>116</v>
      </c>
    </row>
    <row r="41" spans="2:4">
      <c r="B41" s="55">
        <v>39</v>
      </c>
      <c r="C41" s="13" t="s">
        <v>117</v>
      </c>
    </row>
    <row r="42" spans="2:4">
      <c r="B42" s="55">
        <v>40</v>
      </c>
      <c r="C42" s="13" t="s">
        <v>118</v>
      </c>
    </row>
    <row r="43" spans="2:4">
      <c r="B43" s="55">
        <v>41</v>
      </c>
      <c r="C43" s="13" t="s">
        <v>119</v>
      </c>
    </row>
    <row r="44" spans="2:4">
      <c r="B44" s="55">
        <v>42</v>
      </c>
      <c r="C44" s="13" t="s">
        <v>120</v>
      </c>
    </row>
    <row r="45" spans="2:4">
      <c r="B45" s="55">
        <v>43</v>
      </c>
      <c r="C45" s="13" t="s">
        <v>121</v>
      </c>
    </row>
    <row r="46" spans="2:4">
      <c r="B46" s="55">
        <v>44</v>
      </c>
      <c r="C46" s="13" t="s">
        <v>122</v>
      </c>
    </row>
    <row r="47" spans="2:4">
      <c r="B47" s="55">
        <v>45</v>
      </c>
      <c r="C47" s="13" t="s">
        <v>124</v>
      </c>
    </row>
    <row r="48" spans="2:4">
      <c r="B48" s="55">
        <v>46</v>
      </c>
      <c r="C48" s="13" t="s">
        <v>125</v>
      </c>
    </row>
    <row r="49" spans="2:3">
      <c r="B49" s="55">
        <v>47</v>
      </c>
      <c r="C49" s="13" t="s">
        <v>126</v>
      </c>
    </row>
    <row r="50" spans="2:3">
      <c r="B50" s="55">
        <v>48</v>
      </c>
      <c r="C50" s="13" t="s">
        <v>127</v>
      </c>
    </row>
    <row r="51" spans="2:3">
      <c r="B51" s="55">
        <v>49</v>
      </c>
      <c r="C51" s="13" t="s">
        <v>128</v>
      </c>
    </row>
    <row r="52" spans="2:3">
      <c r="B52" s="55">
        <v>50</v>
      </c>
      <c r="C52" s="13" t="s">
        <v>129</v>
      </c>
    </row>
    <row r="53" spans="2:3">
      <c r="B53" s="55">
        <v>51</v>
      </c>
      <c r="C53" s="8" t="s">
        <v>272</v>
      </c>
    </row>
    <row r="54" spans="2:3">
      <c r="B54" s="72">
        <v>52</v>
      </c>
      <c r="C54" s="73" t="s">
        <v>273</v>
      </c>
    </row>
    <row r="55" spans="2:3">
      <c r="B55" s="55">
        <v>53</v>
      </c>
      <c r="C55" s="8" t="s">
        <v>298</v>
      </c>
    </row>
    <row r="56" spans="2:3">
      <c r="B56" s="55">
        <v>54</v>
      </c>
      <c r="C56" s="8" t="s">
        <v>299</v>
      </c>
    </row>
    <row r="57" spans="2:3">
      <c r="B57" s="55">
        <v>55</v>
      </c>
      <c r="C57" s="8" t="s">
        <v>300</v>
      </c>
    </row>
    <row r="58" spans="2:3">
      <c r="B58" s="55">
        <v>56</v>
      </c>
      <c r="C58" s="8" t="s">
        <v>301</v>
      </c>
    </row>
    <row r="59" spans="2:3">
      <c r="B59" s="55">
        <v>57</v>
      </c>
      <c r="C59" s="8" t="s">
        <v>302</v>
      </c>
    </row>
    <row r="60" spans="2:3">
      <c r="B60" s="72">
        <v>58</v>
      </c>
      <c r="C60" s="73" t="s">
        <v>303</v>
      </c>
    </row>
    <row r="61" spans="2:3">
      <c r="B61" s="55">
        <v>59</v>
      </c>
      <c r="C61" s="8" t="s">
        <v>309</v>
      </c>
    </row>
    <row r="62" spans="2:3">
      <c r="B62" s="55">
        <v>60</v>
      </c>
      <c r="C62" s="8" t="s">
        <v>297</v>
      </c>
    </row>
    <row r="63" spans="2:3">
      <c r="B63" s="55">
        <v>61</v>
      </c>
      <c r="C63" s="13" t="s">
        <v>304</v>
      </c>
    </row>
    <row r="64" spans="2:3">
      <c r="B64" s="55">
        <v>62</v>
      </c>
      <c r="C64" s="13" t="s">
        <v>305</v>
      </c>
    </row>
    <row r="65" spans="2:18">
      <c r="B65" s="55">
        <v>63</v>
      </c>
      <c r="C65" s="8" t="s">
        <v>306</v>
      </c>
    </row>
    <row r="66" spans="2:18">
      <c r="B66" s="55">
        <v>64</v>
      </c>
      <c r="C66" s="13" t="s">
        <v>308</v>
      </c>
    </row>
    <row r="67" spans="2:18">
      <c r="B67" s="55">
        <v>65</v>
      </c>
      <c r="C67" s="13" t="s">
        <v>307</v>
      </c>
    </row>
    <row r="68" spans="2:18">
      <c r="B68" s="55">
        <v>66</v>
      </c>
      <c r="C68" s="8" t="s">
        <v>310</v>
      </c>
      <c r="D68" t="s">
        <v>452</v>
      </c>
      <c r="I68" t="s">
        <v>453</v>
      </c>
      <c r="N68" t="s">
        <v>454</v>
      </c>
      <c r="R68" t="s">
        <v>455</v>
      </c>
    </row>
    <row r="69" spans="2:18">
      <c r="B69" s="6">
        <v>67</v>
      </c>
      <c r="C69" s="8" t="s">
        <v>311</v>
      </c>
    </row>
    <row r="70" spans="2:18">
      <c r="B70" s="55">
        <v>68</v>
      </c>
      <c r="C70" s="8" t="s">
        <v>321</v>
      </c>
    </row>
    <row r="71" spans="2:18">
      <c r="B71" s="55">
        <v>69</v>
      </c>
      <c r="C71" s="8" t="s">
        <v>322</v>
      </c>
    </row>
    <row r="72" spans="2:18">
      <c r="B72" s="55">
        <v>70</v>
      </c>
      <c r="C72" s="8" t="s">
        <v>323</v>
      </c>
    </row>
    <row r="73" spans="2:18">
      <c r="B73" s="72">
        <v>71</v>
      </c>
      <c r="C73" s="73" t="s">
        <v>329</v>
      </c>
    </row>
    <row r="74" spans="2:18">
      <c r="B74" s="55">
        <v>72</v>
      </c>
      <c r="C74" s="13" t="s">
        <v>350</v>
      </c>
    </row>
    <row r="75" spans="2:18">
      <c r="B75" s="55">
        <v>73</v>
      </c>
      <c r="C75" s="13" t="s">
        <v>374</v>
      </c>
    </row>
    <row r="76" spans="2:18">
      <c r="B76" s="55">
        <v>74</v>
      </c>
      <c r="C76" s="13" t="s">
        <v>395</v>
      </c>
    </row>
    <row r="77" spans="2:18">
      <c r="B77" s="55">
        <v>75</v>
      </c>
      <c r="C77" s="13" t="s">
        <v>400</v>
      </c>
    </row>
    <row r="78" spans="2:18">
      <c r="B78" s="55">
        <v>76</v>
      </c>
      <c r="C78" s="13" t="s">
        <v>405</v>
      </c>
    </row>
    <row r="79" spans="2:18">
      <c r="B79" s="55">
        <v>77</v>
      </c>
      <c r="C79" s="13" t="s">
        <v>407</v>
      </c>
    </row>
    <row r="80" spans="2:18">
      <c r="B80" s="72">
        <v>78</v>
      </c>
      <c r="C80" s="46" t="s">
        <v>409</v>
      </c>
    </row>
    <row r="81" spans="2:3">
      <c r="B81" s="55">
        <v>79</v>
      </c>
      <c r="C81" s="13" t="s">
        <v>476</v>
      </c>
    </row>
    <row r="82" spans="2:3" ht="25.5">
      <c r="B82" s="55">
        <v>80</v>
      </c>
      <c r="C82" s="156" t="s">
        <v>488</v>
      </c>
    </row>
    <row r="83" spans="2:3">
      <c r="B83" s="55">
        <v>81</v>
      </c>
      <c r="C83" s="8" t="s">
        <v>496</v>
      </c>
    </row>
    <row r="84" spans="2:3">
      <c r="B84" s="55">
        <v>82</v>
      </c>
      <c r="C84" s="13" t="s">
        <v>517</v>
      </c>
    </row>
    <row r="85" spans="2:3">
      <c r="B85" s="55">
        <v>83</v>
      </c>
      <c r="C85" s="13" t="s">
        <v>533</v>
      </c>
    </row>
    <row r="86" spans="2:3">
      <c r="B86" s="55">
        <v>84</v>
      </c>
      <c r="C86" s="13" t="s">
        <v>538</v>
      </c>
    </row>
    <row r="87" spans="2:3">
      <c r="B87" s="55">
        <v>85</v>
      </c>
      <c r="C87" s="13" t="s">
        <v>540</v>
      </c>
    </row>
    <row r="88" spans="2:3">
      <c r="B88" s="72">
        <v>86</v>
      </c>
      <c r="C88" s="46" t="s">
        <v>542</v>
      </c>
    </row>
    <row r="89" spans="2:3">
      <c r="B89" s="55">
        <v>87</v>
      </c>
      <c r="C89" s="13" t="s">
        <v>549</v>
      </c>
    </row>
    <row r="90" spans="2:3">
      <c r="B90" s="55">
        <v>88</v>
      </c>
      <c r="C90" s="13" t="s">
        <v>553</v>
      </c>
    </row>
    <row r="91" spans="2:3">
      <c r="B91" s="55">
        <v>89</v>
      </c>
      <c r="C91" s="13" t="s">
        <v>561</v>
      </c>
    </row>
    <row r="92" spans="2:3">
      <c r="B92" s="55">
        <v>90</v>
      </c>
      <c r="C92" s="13" t="s">
        <v>564</v>
      </c>
    </row>
    <row r="93" spans="2:3">
      <c r="B93" s="55">
        <v>91</v>
      </c>
      <c r="C93" s="13" t="s">
        <v>569</v>
      </c>
    </row>
    <row r="94" spans="2:3">
      <c r="B94" s="55">
        <v>92</v>
      </c>
      <c r="C94" s="13" t="s">
        <v>572</v>
      </c>
    </row>
    <row r="95" spans="2:3">
      <c r="B95" s="72">
        <v>93</v>
      </c>
      <c r="C95" s="46" t="s">
        <v>576</v>
      </c>
    </row>
    <row r="96" spans="2:3">
      <c r="B96" s="72">
        <v>94</v>
      </c>
      <c r="C96" s="73" t="s">
        <v>583</v>
      </c>
    </row>
    <row r="97" spans="2:3">
      <c r="B97" s="55">
        <v>95</v>
      </c>
      <c r="C97" s="13" t="s">
        <v>601</v>
      </c>
    </row>
    <row r="98" spans="2:3">
      <c r="B98" s="55">
        <v>96</v>
      </c>
      <c r="C98" s="13" t="s">
        <v>614</v>
      </c>
    </row>
    <row r="99" spans="2:3">
      <c r="B99" s="45">
        <v>97</v>
      </c>
      <c r="C99" s="46" t="s">
        <v>644</v>
      </c>
    </row>
    <row r="100" spans="2:3">
      <c r="B100" s="55">
        <v>98</v>
      </c>
      <c r="C100" s="13" t="s">
        <v>665</v>
      </c>
    </row>
    <row r="101" spans="2:3">
      <c r="B101" s="72">
        <v>99</v>
      </c>
      <c r="C101" s="46" t="s">
        <v>669</v>
      </c>
    </row>
    <row r="102" spans="2:3">
      <c r="B102" s="72">
        <v>100</v>
      </c>
      <c r="C102" s="46" t="s">
        <v>677</v>
      </c>
    </row>
    <row r="103" spans="2:3">
      <c r="B103" s="55">
        <v>101</v>
      </c>
      <c r="C103" s="13" t="s">
        <v>687</v>
      </c>
    </row>
    <row r="104" spans="2:3">
      <c r="B104" s="72">
        <v>102</v>
      </c>
      <c r="C104" s="46" t="s">
        <v>688</v>
      </c>
    </row>
    <row r="105" spans="2:3" ht="25.5">
      <c r="B105" s="55">
        <v>103</v>
      </c>
      <c r="C105" s="226" t="s">
        <v>691</v>
      </c>
    </row>
    <row r="106" spans="2:3">
      <c r="B106" s="55">
        <v>104</v>
      </c>
      <c r="C106" s="13" t="s">
        <v>694</v>
      </c>
    </row>
    <row r="107" spans="2:3">
      <c r="B107" s="72">
        <v>105</v>
      </c>
      <c r="C107" s="46" t="s">
        <v>697</v>
      </c>
    </row>
    <row r="108" spans="2:3">
      <c r="B108" s="72">
        <v>106</v>
      </c>
      <c r="C108" s="236" t="s">
        <v>726</v>
      </c>
    </row>
    <row r="109" spans="2:3" ht="13.5" thickBot="1">
      <c r="B109" s="222">
        <v>107</v>
      </c>
      <c r="C109" s="229" t="s">
        <v>707</v>
      </c>
    </row>
    <row r="110" spans="2:3">
      <c r="B110" s="231">
        <v>108</v>
      </c>
      <c r="C110" s="232" t="s">
        <v>715</v>
      </c>
    </row>
    <row r="111" spans="2:3" ht="13.5" thickBot="1">
      <c r="B111" s="222">
        <v>109</v>
      </c>
      <c r="C111" s="233" t="s">
        <v>716</v>
      </c>
    </row>
  </sheetData>
  <phoneticPr fontId="0" type="noConversion"/>
  <hyperlinks>
    <hyperlink ref="C5" r:id="rId1"/>
    <hyperlink ref="C6" r:id="rId2"/>
    <hyperlink ref="C7" r:id="rId3"/>
    <hyperlink ref="C8" r:id="rId4"/>
    <hyperlink ref="C9" r:id="rId5"/>
    <hyperlink ref="C10" r:id="rId6"/>
    <hyperlink ref="C13" r:id="rId7"/>
    <hyperlink ref="C14" r:id="rId8"/>
    <hyperlink ref="C15" r:id="rId9"/>
    <hyperlink ref="C16" r:id="rId10"/>
    <hyperlink ref="C17" r:id="rId11"/>
    <hyperlink ref="C18" r:id="rId12"/>
    <hyperlink ref="C19" r:id="rId13"/>
    <hyperlink ref="C20" r:id="rId14"/>
    <hyperlink ref="C21" r:id="rId15"/>
    <hyperlink ref="C22" r:id="rId16"/>
    <hyperlink ref="C23" r:id="rId17"/>
    <hyperlink ref="C11" r:id="rId18"/>
    <hyperlink ref="C12" r:id="rId19"/>
    <hyperlink ref="C24" r:id="rId20"/>
    <hyperlink ref="C25" r:id="rId21"/>
    <hyperlink ref="C26" r:id="rId22"/>
    <hyperlink ref="C27" r:id="rId23"/>
    <hyperlink ref="C28" r:id="rId24"/>
    <hyperlink ref="C29" r:id="rId25"/>
    <hyperlink ref="C30" r:id="rId26"/>
    <hyperlink ref="C31" r:id="rId27"/>
    <hyperlink ref="C32" r:id="rId28"/>
    <hyperlink ref="C33" r:id="rId29"/>
    <hyperlink ref="C34" r:id="rId30"/>
    <hyperlink ref="C35" r:id="rId31"/>
    <hyperlink ref="C36" r:id="rId32"/>
    <hyperlink ref="C37" r:id="rId33"/>
    <hyperlink ref="C38" r:id="rId34"/>
    <hyperlink ref="C39" r:id="rId35"/>
    <hyperlink ref="C40" r:id="rId36"/>
    <hyperlink ref="C41" r:id="rId37"/>
    <hyperlink ref="C42" r:id="rId38"/>
    <hyperlink ref="C43" r:id="rId39"/>
    <hyperlink ref="C44" r:id="rId40"/>
    <hyperlink ref="C45" r:id="rId41"/>
    <hyperlink ref="C46" r:id="rId42"/>
    <hyperlink ref="C47" r:id="rId43"/>
    <hyperlink ref="C48" r:id="rId44"/>
    <hyperlink ref="C49" r:id="rId45"/>
    <hyperlink ref="C50" r:id="rId46"/>
    <hyperlink ref="C51" r:id="rId47"/>
    <hyperlink ref="C52" r:id="rId48"/>
    <hyperlink ref="C63" r:id="rId49"/>
    <hyperlink ref="C64" r:id="rId50"/>
    <hyperlink ref="C67" r:id="rId51"/>
    <hyperlink ref="C66" r:id="rId52"/>
    <hyperlink ref="C74" r:id="rId53"/>
    <hyperlink ref="C75" r:id="rId54"/>
    <hyperlink ref="C76" r:id="rId55"/>
    <hyperlink ref="C77" r:id="rId56"/>
    <hyperlink ref="C78" r:id="rId57"/>
    <hyperlink ref="C79" r:id="rId58"/>
    <hyperlink ref="C80" r:id="rId59"/>
    <hyperlink ref="C81" r:id="rId60"/>
    <hyperlink ref="C84" r:id="rId61"/>
    <hyperlink ref="C85" r:id="rId62"/>
    <hyperlink ref="C86" r:id="rId63"/>
    <hyperlink ref="C87" r:id="rId64"/>
    <hyperlink ref="C88" r:id="rId65"/>
    <hyperlink ref="C89" r:id="rId66"/>
    <hyperlink ref="C90" r:id="rId67"/>
    <hyperlink ref="C91" r:id="rId68"/>
    <hyperlink ref="C92" r:id="rId69"/>
    <hyperlink ref="C93" r:id="rId70"/>
    <hyperlink ref="C94" r:id="rId71"/>
    <hyperlink ref="C95" r:id="rId72"/>
    <hyperlink ref="C97" r:id="rId73"/>
    <hyperlink ref="C98" r:id="rId74"/>
    <hyperlink ref="C99" r:id="rId75"/>
    <hyperlink ref="C100" r:id="rId76"/>
    <hyperlink ref="C101" r:id="rId77"/>
    <hyperlink ref="C102" r:id="rId78"/>
    <hyperlink ref="C104" r:id="rId79"/>
    <hyperlink ref="C103" r:id="rId80"/>
    <hyperlink ref="C105" r:id="rId81"/>
    <hyperlink ref="C106" r:id="rId82"/>
    <hyperlink ref="C107" r:id="rId83"/>
  </hyperlinks>
  <pageMargins left="0.75" right="0.75" top="1" bottom="1" header="0.5" footer="0.5"/>
  <pageSetup paperSize="17" fitToHeight="20" orientation="landscape" r:id="rId84"/>
  <headerFooter alignWithMargins="0"/>
  <drawing r:id="rId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Cover Page</vt:lpstr>
      <vt:lpstr>Room Temperature Properties</vt:lpstr>
      <vt:lpstr>Room Temperature Optical</vt:lpstr>
      <vt:lpstr>OSR degradation</vt:lpstr>
      <vt:lpstr>Emittance</vt:lpstr>
      <vt:lpstr>Conductance</vt:lpstr>
      <vt:lpstr>CTE</vt:lpstr>
      <vt:lpstr>Integrated Expansion</vt:lpstr>
      <vt:lpstr>Specific Heat</vt:lpstr>
      <vt:lpstr>Young's Modulus</vt:lpstr>
      <vt:lpstr>Tensil Strength</vt:lpstr>
      <vt:lpstr>Poisson's Ratio</vt:lpstr>
      <vt:lpstr>References</vt:lpstr>
      <vt:lpstr>References!Print_Area</vt:lpstr>
    </vt:vector>
  </TitlesOfParts>
  <Company>UCB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00064-ME02-G.xls</dc:title>
  <dc:subject>SNAP Material Properties Database</dc:subject>
  <dc:creator>Patrick Jelinsky</dc:creator>
  <cp:lastModifiedBy>Joseph H Silber</cp:lastModifiedBy>
  <cp:lastPrinted>2010-03-23T22:19:10Z</cp:lastPrinted>
  <dcterms:created xsi:type="dcterms:W3CDTF">2005-01-28T22:12:40Z</dcterms:created>
  <dcterms:modified xsi:type="dcterms:W3CDTF">2014-01-30T17:14:57Z</dcterms:modified>
</cp:coreProperties>
</file>